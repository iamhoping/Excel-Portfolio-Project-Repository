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rapin\Downloads\"/>
    </mc:Choice>
  </mc:AlternateContent>
  <xr:revisionPtr revIDLastSave="0" documentId="13_ncr:1_{A257804C-F80F-4AF1-AD52-8CCC6D8CFB85}" xr6:coauthVersionLast="47" xr6:coauthVersionMax="47" xr10:uidLastSave="{00000000-0000-0000-0000-000000000000}"/>
  <bookViews>
    <workbookView xWindow="-108" yWindow="-108" windowWidth="23256" windowHeight="12456" xr2:uid="{3A289394-2C5D-43CB-9105-FC0453DE5FCD}"/>
  </bookViews>
  <sheets>
    <sheet name="AllData" sheetId="15" r:id="rId1"/>
    <sheet name="Inventory" sheetId="16" r:id="rId2"/>
    <sheet name="Data_jan" sheetId="7" r:id="rId3"/>
    <sheet name="Data_feb" sheetId="8" r:id="rId4"/>
    <sheet name="Data_march" sheetId="9" r:id="rId5"/>
    <sheet name="Data_april" sheetId="10" r:id="rId6"/>
    <sheet name="Data_may" sheetId="11" r:id="rId7"/>
    <sheet name="Data_june" sheetId="12" r:id="rId8"/>
    <sheet name="Data_jul" sheetId="14" r:id="rId9"/>
  </sheets>
  <definedNames>
    <definedName name="Slicer_Content.Month">#N/A</definedName>
  </definedNames>
  <calcPr calcId="191029"/>
  <pivotCaches>
    <pivotCache cacheId="0"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5" i="15" l="1"/>
  <c r="K14" i="15"/>
  <c r="K13" i="1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E418C7F-979F-4C05-AA09-297ED225C7BB}" keepAlive="1" name="Query - AllData" description="Connection to the 'AllData' query in the workbook." type="5" refreshedVersion="8" background="1">
    <dbPr connection="Provider=Microsoft.Mashup.OleDb.1;Data Source=$Workbook$;Location=AllData;Extended Properties=&quot;&quot;" command="SELECT * FROM [AllData]"/>
  </connection>
</connections>
</file>

<file path=xl/sharedStrings.xml><?xml version="1.0" encoding="utf-8"?>
<sst xmlns="http://schemas.openxmlformats.org/spreadsheetml/2006/main" count="964" uniqueCount="229">
  <si>
    <t>Id</t>
  </si>
  <si>
    <t>Month</t>
  </si>
  <si>
    <t>Product</t>
  </si>
  <si>
    <t>Bal_in_Stock</t>
  </si>
  <si>
    <t>Stock_In</t>
  </si>
  <si>
    <t>Stock_Out</t>
  </si>
  <si>
    <t>Location</t>
  </si>
  <si>
    <t>Unit_Cost</t>
  </si>
  <si>
    <t>Total_Sales</t>
  </si>
  <si>
    <t>Jan</t>
  </si>
  <si>
    <t>Keyboard</t>
  </si>
  <si>
    <t>Warehouse A</t>
  </si>
  <si>
    <t>Mouse</t>
  </si>
  <si>
    <t>Warehouse B</t>
  </si>
  <si>
    <t>Monitor</t>
  </si>
  <si>
    <t>Warehouse C</t>
  </si>
  <si>
    <t>Headset</t>
  </si>
  <si>
    <t>Feb</t>
  </si>
  <si>
    <t>May</t>
  </si>
  <si>
    <t>Webcam</t>
  </si>
  <si>
    <t>Speaker</t>
  </si>
  <si>
    <t>J-1045</t>
  </si>
  <si>
    <t>J-1121</t>
  </si>
  <si>
    <t>Store 1</t>
  </si>
  <si>
    <t>J-1188</t>
  </si>
  <si>
    <t>Laptop</t>
  </si>
  <si>
    <t>Store 2</t>
  </si>
  <si>
    <t>J-1203</t>
  </si>
  <si>
    <t>J-1219</t>
  </si>
  <si>
    <t>Store 3</t>
  </si>
  <si>
    <t>J-1250</t>
  </si>
  <si>
    <t>Printer</t>
  </si>
  <si>
    <t>J-1284</t>
  </si>
  <si>
    <t>Tablet</t>
  </si>
  <si>
    <t>J-1301</t>
  </si>
  <si>
    <t>J-1333</t>
  </si>
  <si>
    <t>Router</t>
  </si>
  <si>
    <t>J-1377</t>
  </si>
  <si>
    <t>SSD</t>
  </si>
  <si>
    <t>J-1402</t>
  </si>
  <si>
    <t>HDD</t>
  </si>
  <si>
    <t>RAM</t>
  </si>
  <si>
    <t>J-1466</t>
  </si>
  <si>
    <t>GPU</t>
  </si>
  <si>
    <t>J-1499</t>
  </si>
  <si>
    <t>CPU</t>
  </si>
  <si>
    <t>J-1520</t>
  </si>
  <si>
    <t>Powerbank</t>
  </si>
  <si>
    <t>J-1554</t>
  </si>
  <si>
    <t>Charger</t>
  </si>
  <si>
    <t>J-1588</t>
  </si>
  <si>
    <t>HDMI Cable</t>
  </si>
  <si>
    <t>J-1600</t>
  </si>
  <si>
    <t>USB Hub</t>
  </si>
  <si>
    <t>J-1622</t>
  </si>
  <si>
    <t>Microphone</t>
  </si>
  <si>
    <t>J-1655</t>
  </si>
  <si>
    <t>Tripod</t>
  </si>
  <si>
    <t>J-1688</t>
  </si>
  <si>
    <t>Smartwatch</t>
  </si>
  <si>
    <t>J-1701</t>
  </si>
  <si>
    <t>Phone</t>
  </si>
  <si>
    <t>J-1729</t>
  </si>
  <si>
    <t>Camera</t>
  </si>
  <si>
    <t>J-1753</t>
  </si>
  <si>
    <t>Flash Drive</t>
  </si>
  <si>
    <t>J-1784</t>
  </si>
  <si>
    <t>Projector</t>
  </si>
  <si>
    <t>Extension Cord</t>
  </si>
  <si>
    <t>J-1833</t>
  </si>
  <si>
    <t>Cooling Fan</t>
  </si>
  <si>
    <t>J-1866</t>
  </si>
  <si>
    <t>Modem</t>
  </si>
  <si>
    <t>J-1899</t>
  </si>
  <si>
    <t>VR Headset</t>
  </si>
  <si>
    <t>F-2041</t>
  </si>
  <si>
    <t>F-2077</t>
  </si>
  <si>
    <t>F-2102</t>
  </si>
  <si>
    <t>F-2139</t>
  </si>
  <si>
    <t>F-2166</t>
  </si>
  <si>
    <t>F-2214</t>
  </si>
  <si>
    <t>F-2248</t>
  </si>
  <si>
    <t>F-2275</t>
  </si>
  <si>
    <t>F-2299</t>
  </si>
  <si>
    <t>F-2321</t>
  </si>
  <si>
    <t>F-2355</t>
  </si>
  <si>
    <t>F-2388</t>
  </si>
  <si>
    <t>F-2403</t>
  </si>
  <si>
    <t>F-2436</t>
  </si>
  <si>
    <t>F-2492</t>
  </si>
  <si>
    <t>F-2525</t>
  </si>
  <si>
    <t>F-2558</t>
  </si>
  <si>
    <t>F-2581</t>
  </si>
  <si>
    <t>F-2604</t>
  </si>
  <si>
    <t>F-2637</t>
  </si>
  <si>
    <t>F-2660</t>
  </si>
  <si>
    <t>F-2693</t>
  </si>
  <si>
    <t>F-2726</t>
  </si>
  <si>
    <t>F-2759</t>
  </si>
  <si>
    <t>F-2782</t>
  </si>
  <si>
    <t>F-2815</t>
  </si>
  <si>
    <t>F-2871</t>
  </si>
  <si>
    <t>M-3011</t>
  </si>
  <si>
    <t>March</t>
  </si>
  <si>
    <t>M-3034</t>
  </si>
  <si>
    <t>M-3067</t>
  </si>
  <si>
    <t>M-3123</t>
  </si>
  <si>
    <t>M-3156</t>
  </si>
  <si>
    <t>M-3189</t>
  </si>
  <si>
    <t>M-3212</t>
  </si>
  <si>
    <t>M-3245</t>
  </si>
  <si>
    <t>M-3278</t>
  </si>
  <si>
    <t>M-3301</t>
  </si>
  <si>
    <t>M-3334</t>
  </si>
  <si>
    <t>M-3367</t>
  </si>
  <si>
    <t>M-3390</t>
  </si>
  <si>
    <t>M-3423</t>
  </si>
  <si>
    <t>M-3456</t>
  </si>
  <si>
    <t>M-3489</t>
  </si>
  <si>
    <t>M-3512</t>
  </si>
  <si>
    <t>M-3545</t>
  </si>
  <si>
    <t>M-3578</t>
  </si>
  <si>
    <t>M-3601</t>
  </si>
  <si>
    <t>M-3634</t>
  </si>
  <si>
    <t>M-3667</t>
  </si>
  <si>
    <t>M-3690</t>
  </si>
  <si>
    <t>M-3723</t>
  </si>
  <si>
    <t>M-3756</t>
  </si>
  <si>
    <t>M-3789</t>
  </si>
  <si>
    <t>M-3812</t>
  </si>
  <si>
    <t>M-3845</t>
  </si>
  <si>
    <t>M-3878</t>
  </si>
  <si>
    <t>A-4012</t>
  </si>
  <si>
    <t>April</t>
  </si>
  <si>
    <t>A-4045</t>
  </si>
  <si>
    <t>A-4078</t>
  </si>
  <si>
    <t>A-4101</t>
  </si>
  <si>
    <t>A-4134</t>
  </si>
  <si>
    <t>A-4167</t>
  </si>
  <si>
    <t>A-4190</t>
  </si>
  <si>
    <t>A-4223</t>
  </si>
  <si>
    <t>A-4256</t>
  </si>
  <si>
    <t>A-4289</t>
  </si>
  <si>
    <t>A-4312</t>
  </si>
  <si>
    <t>A-4345</t>
  </si>
  <si>
    <t>A-4378</t>
  </si>
  <si>
    <t>A-4401</t>
  </si>
  <si>
    <t>A-4467</t>
  </si>
  <si>
    <t>A-4490</t>
  </si>
  <si>
    <t>A-4523</t>
  </si>
  <si>
    <t>A-4556</t>
  </si>
  <si>
    <t>A-4612</t>
  </si>
  <si>
    <t>A-4645</t>
  </si>
  <si>
    <t>A-4678</t>
  </si>
  <si>
    <t>A-4701</t>
  </si>
  <si>
    <t>A-4734</t>
  </si>
  <si>
    <t>A-4767</t>
  </si>
  <si>
    <t>A-4790</t>
  </si>
  <si>
    <t>A-4823</t>
  </si>
  <si>
    <t>A-4856</t>
  </si>
  <si>
    <t>A-4889</t>
  </si>
  <si>
    <t>MY-5011</t>
  </si>
  <si>
    <t>MY-5033</t>
  </si>
  <si>
    <t>MY-5066</t>
  </si>
  <si>
    <t>MY-5099</t>
  </si>
  <si>
    <t>MY-5155</t>
  </si>
  <si>
    <t>MY-5188</t>
  </si>
  <si>
    <t>MY-5211</t>
  </si>
  <si>
    <t>MY-5244</t>
  </si>
  <si>
    <t>MY-5277</t>
  </si>
  <si>
    <t>MY-5300</t>
  </si>
  <si>
    <t>MY-5333</t>
  </si>
  <si>
    <t>MY-5366</t>
  </si>
  <si>
    <t>MY-5399</t>
  </si>
  <si>
    <t>MY-5422</t>
  </si>
  <si>
    <t>MY-5455</t>
  </si>
  <si>
    <t>MY-5488</t>
  </si>
  <si>
    <t>MY-5511</t>
  </si>
  <si>
    <t>MY-5544</t>
  </si>
  <si>
    <t>MY-5577</t>
  </si>
  <si>
    <t>MY-5600</t>
  </si>
  <si>
    <t>MY-5633</t>
  </si>
  <si>
    <t>MY-5699</t>
  </si>
  <si>
    <t>MY-5722</t>
  </si>
  <si>
    <t>MY-5755</t>
  </si>
  <si>
    <t>MY-5788</t>
  </si>
  <si>
    <t>MY-5811</t>
  </si>
  <si>
    <t>MY-5844</t>
  </si>
  <si>
    <t>MY-5877</t>
  </si>
  <si>
    <t>JN-6012</t>
  </si>
  <si>
    <t>June</t>
  </si>
  <si>
    <t>JN-6045</t>
  </si>
  <si>
    <t>JN-6101</t>
  </si>
  <si>
    <t>JN-6134</t>
  </si>
  <si>
    <t>JN-6167</t>
  </si>
  <si>
    <t>JN-6190</t>
  </si>
  <si>
    <t>JN-6223</t>
  </si>
  <si>
    <t>JN-6256</t>
  </si>
  <si>
    <t>JN-6289</t>
  </si>
  <si>
    <t>JN-6312</t>
  </si>
  <si>
    <t>JN-6378</t>
  </si>
  <si>
    <t>JN-6401</t>
  </si>
  <si>
    <t>JN-6434</t>
  </si>
  <si>
    <t>JN-6467</t>
  </si>
  <si>
    <t>JN-6490</t>
  </si>
  <si>
    <t>JN-6523</t>
  </si>
  <si>
    <t>JN-6556</t>
  </si>
  <si>
    <t>JN-6589</t>
  </si>
  <si>
    <t>JN-6645</t>
  </si>
  <si>
    <t>JN-6678</t>
  </si>
  <si>
    <t>JN-6701</t>
  </si>
  <si>
    <t>JN-6734</t>
  </si>
  <si>
    <t>JN-6767</t>
  </si>
  <si>
    <t>JN-6790</t>
  </si>
  <si>
    <t>JN-6823</t>
  </si>
  <si>
    <t>JN-6856</t>
  </si>
  <si>
    <t>JN-6889</t>
  </si>
  <si>
    <t>Jul</t>
  </si>
  <si>
    <t>Row Labels</t>
  </si>
  <si>
    <t>Grand Total</t>
  </si>
  <si>
    <t>Sum of Content.Bal_in_Stock</t>
  </si>
  <si>
    <t>Sum of Content.Total_Sales</t>
  </si>
  <si>
    <t>Sum of Content.Stock_In</t>
  </si>
  <si>
    <t>Sum of Content.Stock_Out</t>
  </si>
  <si>
    <t>KPI</t>
  </si>
  <si>
    <t>QTY</t>
  </si>
  <si>
    <t>Balance-in-Stock</t>
  </si>
  <si>
    <t>Stock-out</t>
  </si>
  <si>
    <t>Stock-in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</si>
</sst>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24"/>
      <color rgb="FF000000"/>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9">
    <xf numFmtId="0" fontId="0" fillId="0" borderId="0" xfId="0"/>
    <xf numFmtId="0" fontId="1" fillId="0" borderId="0" xfId="0" applyFont="1" applyAlignment="1">
      <alignment horizontal="center" vertical="center" wrapText="1"/>
    </xf>
    <xf numFmtId="0" fontId="0" fillId="0" borderId="0" xfId="0" applyAlignment="1">
      <alignment vertical="center" wrapText="1"/>
    </xf>
    <xf numFmtId="0" fontId="0" fillId="0" borderId="0" xfId="0" pivotButton="1"/>
    <xf numFmtId="0" fontId="0" fillId="0" borderId="0" xfId="0" applyAlignment="1">
      <alignment horizontal="left"/>
    </xf>
    <xf numFmtId="0" fontId="1" fillId="2" borderId="1" xfId="0" applyFont="1" applyFill="1" applyBorder="1"/>
    <xf numFmtId="0" fontId="1" fillId="3" borderId="0" xfId="0" applyFont="1" applyFill="1" applyAlignment="1">
      <alignment horizontal="center" vertical="center"/>
    </xf>
    <xf numFmtId="0" fontId="2" fillId="0" borderId="0" xfId="0" applyFont="1" applyAlignment="1">
      <alignment horizontal="center" vertical="center"/>
    </xf>
    <xf numFmtId="0" fontId="0" fillId="0" borderId="0" xfId="0" applyNumberFormat="1"/>
  </cellXfs>
  <cellStyles count="1">
    <cellStyle name="Normal" xfId="0" builtinId="0"/>
  </cellStyles>
  <dxfs count="77">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[Pineda_Merging Data.xlsx]AllData!PivotTable1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PH"/>
              <a:t>Balance</a:t>
            </a:r>
            <a:r>
              <a:rPr lang="en-PH" baseline="0"/>
              <a:t> in Stock by Product</a:t>
            </a:r>
            <a:endParaRPr lang="en-PH"/>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H"/>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AllData!$B$1</c:f>
              <c:strCache>
                <c:ptCount val="1"/>
                <c:pt idx="0">
                  <c:v>Total</c:v>
                </c:pt>
              </c:strCache>
            </c:strRef>
          </c:tx>
          <c:spPr>
            <a:solidFill>
              <a:schemeClr val="accent1"/>
            </a:solidFill>
            <a:ln>
              <a:noFill/>
            </a:ln>
            <a:effectLst/>
          </c:spPr>
          <c:invertIfNegative val="0"/>
          <c:cat>
            <c:strRef>
              <c:f>AllData!$A$2:$A$32</c:f>
              <c:strCache>
                <c:ptCount val="30"/>
                <c:pt idx="0">
                  <c:v>Camera</c:v>
                </c:pt>
                <c:pt idx="1">
                  <c:v>Charger</c:v>
                </c:pt>
                <c:pt idx="2">
                  <c:v>Cooling Fan</c:v>
                </c:pt>
                <c:pt idx="3">
                  <c:v>CPU</c:v>
                </c:pt>
                <c:pt idx="4">
                  <c:v>Extension Cord</c:v>
                </c:pt>
                <c:pt idx="5">
                  <c:v>Flash Drive</c:v>
                </c:pt>
                <c:pt idx="6">
                  <c:v>GPU</c:v>
                </c:pt>
                <c:pt idx="7">
                  <c:v>HDD</c:v>
                </c:pt>
                <c:pt idx="8">
                  <c:v>HDMI Cable</c:v>
                </c:pt>
                <c:pt idx="9">
                  <c:v>Headset</c:v>
                </c:pt>
                <c:pt idx="10">
                  <c:v>Keyboard</c:v>
                </c:pt>
                <c:pt idx="11">
                  <c:v>Laptop</c:v>
                </c:pt>
                <c:pt idx="12">
                  <c:v>Microphone</c:v>
                </c:pt>
                <c:pt idx="13">
                  <c:v>Modem</c:v>
                </c:pt>
                <c:pt idx="14">
                  <c:v>Monitor</c:v>
                </c:pt>
                <c:pt idx="15">
                  <c:v>Mouse</c:v>
                </c:pt>
                <c:pt idx="16">
                  <c:v>Phone</c:v>
                </c:pt>
                <c:pt idx="17">
                  <c:v>Powerbank</c:v>
                </c:pt>
                <c:pt idx="18">
                  <c:v>Printer</c:v>
                </c:pt>
                <c:pt idx="19">
                  <c:v>Projector</c:v>
                </c:pt>
                <c:pt idx="20">
                  <c:v>RAM</c:v>
                </c:pt>
                <c:pt idx="21">
                  <c:v>Router</c:v>
                </c:pt>
                <c:pt idx="22">
                  <c:v>Smartwatch</c:v>
                </c:pt>
                <c:pt idx="23">
                  <c:v>Speaker</c:v>
                </c:pt>
                <c:pt idx="24">
                  <c:v>SSD</c:v>
                </c:pt>
                <c:pt idx="25">
                  <c:v>Tablet</c:v>
                </c:pt>
                <c:pt idx="26">
                  <c:v>Tripod</c:v>
                </c:pt>
                <c:pt idx="27">
                  <c:v>USB Hub</c:v>
                </c:pt>
                <c:pt idx="28">
                  <c:v>VR Headset</c:v>
                </c:pt>
                <c:pt idx="29">
                  <c:v>Webcam</c:v>
                </c:pt>
              </c:strCache>
            </c:strRef>
          </c:cat>
          <c:val>
            <c:numRef>
              <c:f>AllData!$B$2:$B$32</c:f>
              <c:numCache>
                <c:formatCode>General</c:formatCode>
                <c:ptCount val="30"/>
                <c:pt idx="0">
                  <c:v>161</c:v>
                </c:pt>
                <c:pt idx="1">
                  <c:v>1013</c:v>
                </c:pt>
                <c:pt idx="2">
                  <c:v>573</c:v>
                </c:pt>
                <c:pt idx="3">
                  <c:v>318</c:v>
                </c:pt>
                <c:pt idx="4">
                  <c:v>1308</c:v>
                </c:pt>
                <c:pt idx="5">
                  <c:v>1179</c:v>
                </c:pt>
                <c:pt idx="6">
                  <c:v>207</c:v>
                </c:pt>
                <c:pt idx="7">
                  <c:v>987</c:v>
                </c:pt>
                <c:pt idx="8">
                  <c:v>1541</c:v>
                </c:pt>
                <c:pt idx="9">
                  <c:v>583</c:v>
                </c:pt>
                <c:pt idx="10">
                  <c:v>810</c:v>
                </c:pt>
                <c:pt idx="11">
                  <c:v>239</c:v>
                </c:pt>
                <c:pt idx="12">
                  <c:v>487</c:v>
                </c:pt>
                <c:pt idx="13">
                  <c:v>367</c:v>
                </c:pt>
                <c:pt idx="14">
                  <c:v>522</c:v>
                </c:pt>
                <c:pt idx="15">
                  <c:v>1020</c:v>
                </c:pt>
                <c:pt idx="16">
                  <c:v>259</c:v>
                </c:pt>
                <c:pt idx="17">
                  <c:v>1055</c:v>
                </c:pt>
                <c:pt idx="18">
                  <c:v>318</c:v>
                </c:pt>
                <c:pt idx="19">
                  <c:v>92</c:v>
                </c:pt>
                <c:pt idx="20">
                  <c:v>656</c:v>
                </c:pt>
                <c:pt idx="21">
                  <c:v>393</c:v>
                </c:pt>
                <c:pt idx="22">
                  <c:v>347</c:v>
                </c:pt>
                <c:pt idx="23">
                  <c:v>731</c:v>
                </c:pt>
                <c:pt idx="24">
                  <c:v>973</c:v>
                </c:pt>
                <c:pt idx="25">
                  <c:v>382</c:v>
                </c:pt>
                <c:pt idx="26">
                  <c:v>417</c:v>
                </c:pt>
                <c:pt idx="27">
                  <c:v>592</c:v>
                </c:pt>
                <c:pt idx="28">
                  <c:v>248</c:v>
                </c:pt>
                <c:pt idx="29">
                  <c:v>474</c:v>
                </c:pt>
              </c:numCache>
            </c:numRef>
          </c:val>
          <c:extLst>
            <c:ext xmlns:c16="http://schemas.microsoft.com/office/drawing/2014/chart" uri="{C3380CC4-5D6E-409C-BE32-E72D297353CC}">
              <c16:uniqueId val="{00000000-FF2F-45D9-9033-0ADA289AB863}"/>
            </c:ext>
          </c:extLst>
        </c:ser>
        <c:dLbls>
          <c:showLegendKey val="0"/>
          <c:showVal val="0"/>
          <c:showCatName val="0"/>
          <c:showSerName val="0"/>
          <c:showPercent val="0"/>
          <c:showBubbleSize val="0"/>
        </c:dLbls>
        <c:gapWidth val="219"/>
        <c:overlap val="-27"/>
        <c:axId val="524323232"/>
        <c:axId val="524326592"/>
      </c:barChart>
      <c:catAx>
        <c:axId val="524323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326592"/>
        <c:crosses val="autoZero"/>
        <c:auto val="1"/>
        <c:lblAlgn val="ctr"/>
        <c:lblOffset val="100"/>
        <c:noMultiLvlLbl val="0"/>
      </c:catAx>
      <c:valAx>
        <c:axId val="5243265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4323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[Pineda_Merging Data.xlsx]AllData!PivotTable2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r>
              <a:rPr lang="en-US" baseline="0"/>
              <a:t> Sales by Product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AllData!$F$1</c:f>
              <c:strCache>
                <c:ptCount val="1"/>
                <c:pt idx="0">
                  <c:v>Total</c:v>
                </c:pt>
              </c:strCache>
            </c:strRef>
          </c:tx>
          <c:spPr>
            <a:ln w="28575" cap="rnd">
              <a:solidFill>
                <a:schemeClr val="accent1"/>
              </a:solidFill>
              <a:round/>
            </a:ln>
            <a:effectLst/>
          </c:spPr>
          <c:marker>
            <c:symbol val="none"/>
          </c:marker>
          <c:cat>
            <c:strRef>
              <c:f>AllData!$E$2:$E$32</c:f>
              <c:strCache>
                <c:ptCount val="30"/>
                <c:pt idx="0">
                  <c:v>Camera</c:v>
                </c:pt>
                <c:pt idx="1">
                  <c:v>Charger</c:v>
                </c:pt>
                <c:pt idx="2">
                  <c:v>Cooling Fan</c:v>
                </c:pt>
                <c:pt idx="3">
                  <c:v>CPU</c:v>
                </c:pt>
                <c:pt idx="4">
                  <c:v>Extension Cord</c:v>
                </c:pt>
                <c:pt idx="5">
                  <c:v>Flash Drive</c:v>
                </c:pt>
                <c:pt idx="6">
                  <c:v>GPU</c:v>
                </c:pt>
                <c:pt idx="7">
                  <c:v>HDD</c:v>
                </c:pt>
                <c:pt idx="8">
                  <c:v>HDMI Cable</c:v>
                </c:pt>
                <c:pt idx="9">
                  <c:v>Headset</c:v>
                </c:pt>
                <c:pt idx="10">
                  <c:v>Keyboard</c:v>
                </c:pt>
                <c:pt idx="11">
                  <c:v>Laptop</c:v>
                </c:pt>
                <c:pt idx="12">
                  <c:v>Microphone</c:v>
                </c:pt>
                <c:pt idx="13">
                  <c:v>Modem</c:v>
                </c:pt>
                <c:pt idx="14">
                  <c:v>Monitor</c:v>
                </c:pt>
                <c:pt idx="15">
                  <c:v>Mouse</c:v>
                </c:pt>
                <c:pt idx="16">
                  <c:v>Phone</c:v>
                </c:pt>
                <c:pt idx="17">
                  <c:v>Powerbank</c:v>
                </c:pt>
                <c:pt idx="18">
                  <c:v>Printer</c:v>
                </c:pt>
                <c:pt idx="19">
                  <c:v>Projector</c:v>
                </c:pt>
                <c:pt idx="20">
                  <c:v>RAM</c:v>
                </c:pt>
                <c:pt idx="21">
                  <c:v>Router</c:v>
                </c:pt>
                <c:pt idx="22">
                  <c:v>Smartwatch</c:v>
                </c:pt>
                <c:pt idx="23">
                  <c:v>Speaker</c:v>
                </c:pt>
                <c:pt idx="24">
                  <c:v>SSD</c:v>
                </c:pt>
                <c:pt idx="25">
                  <c:v>Tablet</c:v>
                </c:pt>
                <c:pt idx="26">
                  <c:v>Tripod</c:v>
                </c:pt>
                <c:pt idx="27">
                  <c:v>USB Hub</c:v>
                </c:pt>
                <c:pt idx="28">
                  <c:v>VR Headset</c:v>
                </c:pt>
                <c:pt idx="29">
                  <c:v>Webcam</c:v>
                </c:pt>
              </c:strCache>
            </c:strRef>
          </c:cat>
          <c:val>
            <c:numRef>
              <c:f>AllData!$F$2:$F$32</c:f>
              <c:numCache>
                <c:formatCode>General</c:formatCode>
                <c:ptCount val="30"/>
                <c:pt idx="0">
                  <c:v>161</c:v>
                </c:pt>
                <c:pt idx="1">
                  <c:v>1013</c:v>
                </c:pt>
                <c:pt idx="2">
                  <c:v>573</c:v>
                </c:pt>
                <c:pt idx="3">
                  <c:v>318</c:v>
                </c:pt>
                <c:pt idx="4">
                  <c:v>1308</c:v>
                </c:pt>
                <c:pt idx="5">
                  <c:v>1179</c:v>
                </c:pt>
                <c:pt idx="6">
                  <c:v>207</c:v>
                </c:pt>
                <c:pt idx="7">
                  <c:v>987</c:v>
                </c:pt>
                <c:pt idx="8">
                  <c:v>1541</c:v>
                </c:pt>
                <c:pt idx="9">
                  <c:v>583</c:v>
                </c:pt>
                <c:pt idx="10">
                  <c:v>810</c:v>
                </c:pt>
                <c:pt idx="11">
                  <c:v>239</c:v>
                </c:pt>
                <c:pt idx="12">
                  <c:v>487</c:v>
                </c:pt>
                <c:pt idx="13">
                  <c:v>367</c:v>
                </c:pt>
                <c:pt idx="14">
                  <c:v>522</c:v>
                </c:pt>
                <c:pt idx="15">
                  <c:v>1020</c:v>
                </c:pt>
                <c:pt idx="16">
                  <c:v>259</c:v>
                </c:pt>
                <c:pt idx="17">
                  <c:v>1055</c:v>
                </c:pt>
                <c:pt idx="18">
                  <c:v>318</c:v>
                </c:pt>
                <c:pt idx="19">
                  <c:v>92</c:v>
                </c:pt>
                <c:pt idx="20">
                  <c:v>656</c:v>
                </c:pt>
                <c:pt idx="21">
                  <c:v>393</c:v>
                </c:pt>
                <c:pt idx="22">
                  <c:v>347</c:v>
                </c:pt>
                <c:pt idx="23">
                  <c:v>731</c:v>
                </c:pt>
                <c:pt idx="24">
                  <c:v>973</c:v>
                </c:pt>
                <c:pt idx="25">
                  <c:v>382</c:v>
                </c:pt>
                <c:pt idx="26">
                  <c:v>417</c:v>
                </c:pt>
                <c:pt idx="27">
                  <c:v>592</c:v>
                </c:pt>
                <c:pt idx="28">
                  <c:v>248</c:v>
                </c:pt>
                <c:pt idx="29">
                  <c:v>474</c:v>
                </c:pt>
              </c:numCache>
            </c:numRef>
          </c:val>
          <c:smooth val="0"/>
          <c:extLst>
            <c:ext xmlns:c16="http://schemas.microsoft.com/office/drawing/2014/chart" uri="{C3380CC4-5D6E-409C-BE32-E72D297353CC}">
              <c16:uniqueId val="{00000000-4F5D-4B02-8B17-DA2376592F7C}"/>
            </c:ext>
          </c:extLst>
        </c:ser>
        <c:dLbls>
          <c:showLegendKey val="0"/>
          <c:showVal val="0"/>
          <c:showCatName val="0"/>
          <c:showSerName val="0"/>
          <c:showPercent val="0"/>
          <c:showBubbleSize val="0"/>
        </c:dLbls>
        <c:smooth val="0"/>
        <c:axId val="1211493040"/>
        <c:axId val="1211494960"/>
      </c:lineChart>
      <c:catAx>
        <c:axId val="121149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494960"/>
        <c:crosses val="autoZero"/>
        <c:auto val="1"/>
        <c:lblAlgn val="ctr"/>
        <c:lblOffset val="100"/>
        <c:noMultiLvlLbl val="0"/>
      </c:catAx>
      <c:valAx>
        <c:axId val="12114949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49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[Pineda_Merging Data.xlsx]AllData!PivotTable3</c:name>
    <c:fmtId val="0"/>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US"/>
              <a:t>Balance</a:t>
            </a:r>
            <a:r>
              <a:rPr lang="en-US" baseline="0"/>
              <a:t> in Stock</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AllData!$I$1</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E36E-4E18-BDB9-29AA76C6F68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E36E-4E18-BDB9-29AA76C6F685}"/>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E36E-4E18-BDB9-29AA76C6F685}"/>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E36E-4E18-BDB9-29AA76C6F685}"/>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E36E-4E18-BDB9-29AA76C6F685}"/>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E36E-4E18-BDB9-29AA76C6F68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AllData!$H$2:$H$8</c:f>
              <c:strCache>
                <c:ptCount val="6"/>
                <c:pt idx="0">
                  <c:v>Store 1</c:v>
                </c:pt>
                <c:pt idx="1">
                  <c:v>Store 2</c:v>
                </c:pt>
                <c:pt idx="2">
                  <c:v>Store 3</c:v>
                </c:pt>
                <c:pt idx="3">
                  <c:v>Warehouse A</c:v>
                </c:pt>
                <c:pt idx="4">
                  <c:v>Warehouse B</c:v>
                </c:pt>
                <c:pt idx="5">
                  <c:v>Warehouse C</c:v>
                </c:pt>
              </c:strCache>
            </c:strRef>
          </c:cat>
          <c:val>
            <c:numRef>
              <c:f>AllData!$I$2:$I$8</c:f>
              <c:numCache>
                <c:formatCode>General</c:formatCode>
                <c:ptCount val="6"/>
                <c:pt idx="0">
                  <c:v>4325</c:v>
                </c:pt>
                <c:pt idx="1">
                  <c:v>3759</c:v>
                </c:pt>
                <c:pt idx="2">
                  <c:v>2851</c:v>
                </c:pt>
                <c:pt idx="3">
                  <c:v>3081</c:v>
                </c:pt>
                <c:pt idx="4">
                  <c:v>2488</c:v>
                </c:pt>
                <c:pt idx="5">
                  <c:v>1748</c:v>
                </c:pt>
              </c:numCache>
            </c:numRef>
          </c:val>
          <c:extLst>
            <c:ext xmlns:c16="http://schemas.microsoft.com/office/drawing/2014/chart" uri="{C3380CC4-5D6E-409C-BE32-E72D297353CC}">
              <c16:uniqueId val="{00000000-999C-4E04-AF3A-F87099E8D1D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[Pineda_Merging Data.xlsx]AllData!PivotTable4</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Balance</a:t>
            </a:r>
            <a:r>
              <a:rPr lang="en-US" baseline="0"/>
              <a:t> in location</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AllData!$L$1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297-4974-B511-7213ABD66415}"/>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297-4974-B511-7213ABD66415}"/>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297-4974-B511-7213ABD66415}"/>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297-4974-B511-7213ABD66415}"/>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5297-4974-B511-7213ABD66415}"/>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5297-4974-B511-7213ABD6641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AllData!$K$2:$K$8</c:f>
              <c:strCache>
                <c:ptCount val="6"/>
                <c:pt idx="0">
                  <c:v>Store 1</c:v>
                </c:pt>
                <c:pt idx="1">
                  <c:v>Store 2</c:v>
                </c:pt>
                <c:pt idx="2">
                  <c:v>Store 3</c:v>
                </c:pt>
                <c:pt idx="3">
                  <c:v>Warehouse A</c:v>
                </c:pt>
                <c:pt idx="4">
                  <c:v>Warehouse B</c:v>
                </c:pt>
                <c:pt idx="5">
                  <c:v>Warehouse C</c:v>
                </c:pt>
              </c:strCache>
            </c:strRef>
          </c:cat>
          <c:val>
            <c:numRef>
              <c:f>AllData!$L$2:$L$8</c:f>
              <c:numCache>
                <c:formatCode>General</c:formatCode>
                <c:ptCount val="6"/>
                <c:pt idx="0">
                  <c:v>62229</c:v>
                </c:pt>
                <c:pt idx="1">
                  <c:v>89091</c:v>
                </c:pt>
                <c:pt idx="2">
                  <c:v>75777</c:v>
                </c:pt>
                <c:pt idx="3">
                  <c:v>31168</c:v>
                </c:pt>
                <c:pt idx="4">
                  <c:v>40550</c:v>
                </c:pt>
                <c:pt idx="5">
                  <c:v>41767</c:v>
                </c:pt>
              </c:numCache>
            </c:numRef>
          </c:val>
          <c:extLst>
            <c:ext xmlns:c16="http://schemas.microsoft.com/office/drawing/2014/chart" uri="{C3380CC4-5D6E-409C-BE32-E72D297353CC}">
              <c16:uniqueId val="{00000000-B4D6-44BB-9FE2-FAA51E29CD2A}"/>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[Pineda_Merging Data.xlsx]AllData!PivotTable2</c:name>
    <c:fmtId val="3"/>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US"/>
              <a:t>Total Sales by Product</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pPr>
            <a:solidFill>
              <a:schemeClr val="accent1"/>
            </a:solidFill>
            <a:ln w="9525">
              <a:solidFill>
                <a:schemeClr val="accen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round/>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AllData!$F$1</c:f>
              <c:strCache>
                <c:ptCount val="1"/>
                <c:pt idx="0">
                  <c:v>Total</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AllData!$E$2:$E$32</c:f>
              <c:strCache>
                <c:ptCount val="30"/>
                <c:pt idx="0">
                  <c:v>Camera</c:v>
                </c:pt>
                <c:pt idx="1">
                  <c:v>Charger</c:v>
                </c:pt>
                <c:pt idx="2">
                  <c:v>Cooling Fan</c:v>
                </c:pt>
                <c:pt idx="3">
                  <c:v>CPU</c:v>
                </c:pt>
                <c:pt idx="4">
                  <c:v>Extension Cord</c:v>
                </c:pt>
                <c:pt idx="5">
                  <c:v>Flash Drive</c:v>
                </c:pt>
                <c:pt idx="6">
                  <c:v>GPU</c:v>
                </c:pt>
                <c:pt idx="7">
                  <c:v>HDD</c:v>
                </c:pt>
                <c:pt idx="8">
                  <c:v>HDMI Cable</c:v>
                </c:pt>
                <c:pt idx="9">
                  <c:v>Headset</c:v>
                </c:pt>
                <c:pt idx="10">
                  <c:v>Keyboard</c:v>
                </c:pt>
                <c:pt idx="11">
                  <c:v>Laptop</c:v>
                </c:pt>
                <c:pt idx="12">
                  <c:v>Microphone</c:v>
                </c:pt>
                <c:pt idx="13">
                  <c:v>Modem</c:v>
                </c:pt>
                <c:pt idx="14">
                  <c:v>Monitor</c:v>
                </c:pt>
                <c:pt idx="15">
                  <c:v>Mouse</c:v>
                </c:pt>
                <c:pt idx="16">
                  <c:v>Phone</c:v>
                </c:pt>
                <c:pt idx="17">
                  <c:v>Powerbank</c:v>
                </c:pt>
                <c:pt idx="18">
                  <c:v>Printer</c:v>
                </c:pt>
                <c:pt idx="19">
                  <c:v>Projector</c:v>
                </c:pt>
                <c:pt idx="20">
                  <c:v>RAM</c:v>
                </c:pt>
                <c:pt idx="21">
                  <c:v>Router</c:v>
                </c:pt>
                <c:pt idx="22">
                  <c:v>Smartwatch</c:v>
                </c:pt>
                <c:pt idx="23">
                  <c:v>Speaker</c:v>
                </c:pt>
                <c:pt idx="24">
                  <c:v>SSD</c:v>
                </c:pt>
                <c:pt idx="25">
                  <c:v>Tablet</c:v>
                </c:pt>
                <c:pt idx="26">
                  <c:v>Tripod</c:v>
                </c:pt>
                <c:pt idx="27">
                  <c:v>USB Hub</c:v>
                </c:pt>
                <c:pt idx="28">
                  <c:v>VR Headset</c:v>
                </c:pt>
                <c:pt idx="29">
                  <c:v>Webcam</c:v>
                </c:pt>
              </c:strCache>
            </c:strRef>
          </c:cat>
          <c:val>
            <c:numRef>
              <c:f>AllData!$F$2:$F$32</c:f>
              <c:numCache>
                <c:formatCode>General</c:formatCode>
                <c:ptCount val="30"/>
                <c:pt idx="0">
                  <c:v>161</c:v>
                </c:pt>
                <c:pt idx="1">
                  <c:v>1013</c:v>
                </c:pt>
                <c:pt idx="2">
                  <c:v>573</c:v>
                </c:pt>
                <c:pt idx="3">
                  <c:v>318</c:v>
                </c:pt>
                <c:pt idx="4">
                  <c:v>1308</c:v>
                </c:pt>
                <c:pt idx="5">
                  <c:v>1179</c:v>
                </c:pt>
                <c:pt idx="6">
                  <c:v>207</c:v>
                </c:pt>
                <c:pt idx="7">
                  <c:v>987</c:v>
                </c:pt>
                <c:pt idx="8">
                  <c:v>1541</c:v>
                </c:pt>
                <c:pt idx="9">
                  <c:v>583</c:v>
                </c:pt>
                <c:pt idx="10">
                  <c:v>810</c:v>
                </c:pt>
                <c:pt idx="11">
                  <c:v>239</c:v>
                </c:pt>
                <c:pt idx="12">
                  <c:v>487</c:v>
                </c:pt>
                <c:pt idx="13">
                  <c:v>367</c:v>
                </c:pt>
                <c:pt idx="14">
                  <c:v>522</c:v>
                </c:pt>
                <c:pt idx="15">
                  <c:v>1020</c:v>
                </c:pt>
                <c:pt idx="16">
                  <c:v>259</c:v>
                </c:pt>
                <c:pt idx="17">
                  <c:v>1055</c:v>
                </c:pt>
                <c:pt idx="18">
                  <c:v>318</c:v>
                </c:pt>
                <c:pt idx="19">
                  <c:v>92</c:v>
                </c:pt>
                <c:pt idx="20">
                  <c:v>656</c:v>
                </c:pt>
                <c:pt idx="21">
                  <c:v>393</c:v>
                </c:pt>
                <c:pt idx="22">
                  <c:v>347</c:v>
                </c:pt>
                <c:pt idx="23">
                  <c:v>731</c:v>
                </c:pt>
                <c:pt idx="24">
                  <c:v>973</c:v>
                </c:pt>
                <c:pt idx="25">
                  <c:v>382</c:v>
                </c:pt>
                <c:pt idx="26">
                  <c:v>417</c:v>
                </c:pt>
                <c:pt idx="27">
                  <c:v>592</c:v>
                </c:pt>
                <c:pt idx="28">
                  <c:v>248</c:v>
                </c:pt>
                <c:pt idx="29">
                  <c:v>474</c:v>
                </c:pt>
              </c:numCache>
            </c:numRef>
          </c:val>
          <c:smooth val="0"/>
          <c:extLst>
            <c:ext xmlns:c16="http://schemas.microsoft.com/office/drawing/2014/chart" uri="{C3380CC4-5D6E-409C-BE32-E72D297353CC}">
              <c16:uniqueId val="{00000000-0A5D-4140-B702-4A8DA57E9B32}"/>
            </c:ext>
          </c:extLst>
        </c:ser>
        <c:dLbls>
          <c:showLegendKey val="0"/>
          <c:showVal val="0"/>
          <c:showCatName val="0"/>
          <c:showSerName val="0"/>
          <c:showPercent val="0"/>
          <c:showBubbleSize val="0"/>
        </c:dLbls>
        <c:marker val="1"/>
        <c:smooth val="0"/>
        <c:axId val="1211493040"/>
        <c:axId val="1211494960"/>
      </c:lineChart>
      <c:catAx>
        <c:axId val="1211493040"/>
        <c:scaling>
          <c:orientation val="minMax"/>
        </c:scaling>
        <c:delete val="0"/>
        <c:axPos val="b"/>
        <c:majorGridlines>
          <c:spPr>
            <a:ln w="12700" cap="flat" cmpd="sng" algn="ctr">
              <a:solidFill>
                <a:schemeClr val="accent2"/>
              </a:solidFill>
              <a:prstDash val="solid"/>
              <a:miter lim="800000"/>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211494960"/>
        <c:crosses val="autoZero"/>
        <c:auto val="1"/>
        <c:lblAlgn val="ctr"/>
        <c:lblOffset val="100"/>
        <c:noMultiLvlLbl val="0"/>
      </c:catAx>
      <c:valAx>
        <c:axId val="1211494960"/>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493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7800000" scaled="0"/>
        <a:tileRect/>
      </a:gradFill>
      <a:round/>
    </a:ln>
    <a:effectLst>
      <a:outerShdw blurRad="63500" dist="38100" sx="1000" sy="1000" algn="l" rotWithShape="0">
        <a:prstClr val="black"/>
      </a:outerShdw>
      <a:softEdge rad="127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[Pineda_Merging Data.xlsx]AllData!PivotTable2</c:name>
    <c:fmtId val="9"/>
  </c:pivotSource>
  <c:chart>
    <c:title>
      <c:tx>
        <c:rich>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r>
              <a:rPr lang="en-PH"/>
              <a:t>BALANCE IN STOCK BY PRODUCT</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solidFill>
              <a:latin typeface="+mn-lt"/>
              <a:ea typeface="+mn-ea"/>
              <a:cs typeface="+mn-cs"/>
            </a:defRPr>
          </a:pPr>
          <a:endParaRPr lang="en-PH"/>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circle"/>
          <c:size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AllData!$F$1</c:f>
              <c:strCache>
                <c:ptCount val="1"/>
                <c:pt idx="0">
                  <c:v>Total</c:v>
                </c:pt>
              </c:strCache>
            </c:strRef>
          </c:tx>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AllData!$E$2:$E$32</c:f>
              <c:strCache>
                <c:ptCount val="30"/>
                <c:pt idx="0">
                  <c:v>Camera</c:v>
                </c:pt>
                <c:pt idx="1">
                  <c:v>Charger</c:v>
                </c:pt>
                <c:pt idx="2">
                  <c:v>Cooling Fan</c:v>
                </c:pt>
                <c:pt idx="3">
                  <c:v>CPU</c:v>
                </c:pt>
                <c:pt idx="4">
                  <c:v>Extension Cord</c:v>
                </c:pt>
                <c:pt idx="5">
                  <c:v>Flash Drive</c:v>
                </c:pt>
                <c:pt idx="6">
                  <c:v>GPU</c:v>
                </c:pt>
                <c:pt idx="7">
                  <c:v>HDD</c:v>
                </c:pt>
                <c:pt idx="8">
                  <c:v>HDMI Cable</c:v>
                </c:pt>
                <c:pt idx="9">
                  <c:v>Headset</c:v>
                </c:pt>
                <c:pt idx="10">
                  <c:v>Keyboard</c:v>
                </c:pt>
                <c:pt idx="11">
                  <c:v>Laptop</c:v>
                </c:pt>
                <c:pt idx="12">
                  <c:v>Microphone</c:v>
                </c:pt>
                <c:pt idx="13">
                  <c:v>Modem</c:v>
                </c:pt>
                <c:pt idx="14">
                  <c:v>Monitor</c:v>
                </c:pt>
                <c:pt idx="15">
                  <c:v>Mouse</c:v>
                </c:pt>
                <c:pt idx="16">
                  <c:v>Phone</c:v>
                </c:pt>
                <c:pt idx="17">
                  <c:v>Powerbank</c:v>
                </c:pt>
                <c:pt idx="18">
                  <c:v>Printer</c:v>
                </c:pt>
                <c:pt idx="19">
                  <c:v>Projector</c:v>
                </c:pt>
                <c:pt idx="20">
                  <c:v>RAM</c:v>
                </c:pt>
                <c:pt idx="21">
                  <c:v>Router</c:v>
                </c:pt>
                <c:pt idx="22">
                  <c:v>Smartwatch</c:v>
                </c:pt>
                <c:pt idx="23">
                  <c:v>Speaker</c:v>
                </c:pt>
                <c:pt idx="24">
                  <c:v>SSD</c:v>
                </c:pt>
                <c:pt idx="25">
                  <c:v>Tablet</c:v>
                </c:pt>
                <c:pt idx="26">
                  <c:v>Tripod</c:v>
                </c:pt>
                <c:pt idx="27">
                  <c:v>USB Hub</c:v>
                </c:pt>
                <c:pt idx="28">
                  <c:v>VR Headset</c:v>
                </c:pt>
                <c:pt idx="29">
                  <c:v>Webcam</c:v>
                </c:pt>
              </c:strCache>
            </c:strRef>
          </c:cat>
          <c:val>
            <c:numRef>
              <c:f>AllData!$F$2:$F$32</c:f>
              <c:numCache>
                <c:formatCode>General</c:formatCode>
                <c:ptCount val="30"/>
                <c:pt idx="0">
                  <c:v>161</c:v>
                </c:pt>
                <c:pt idx="1">
                  <c:v>1013</c:v>
                </c:pt>
                <c:pt idx="2">
                  <c:v>573</c:v>
                </c:pt>
                <c:pt idx="3">
                  <c:v>318</c:v>
                </c:pt>
                <c:pt idx="4">
                  <c:v>1308</c:v>
                </c:pt>
                <c:pt idx="5">
                  <c:v>1179</c:v>
                </c:pt>
                <c:pt idx="6">
                  <c:v>207</c:v>
                </c:pt>
                <c:pt idx="7">
                  <c:v>987</c:v>
                </c:pt>
                <c:pt idx="8">
                  <c:v>1541</c:v>
                </c:pt>
                <c:pt idx="9">
                  <c:v>583</c:v>
                </c:pt>
                <c:pt idx="10">
                  <c:v>810</c:v>
                </c:pt>
                <c:pt idx="11">
                  <c:v>239</c:v>
                </c:pt>
                <c:pt idx="12">
                  <c:v>487</c:v>
                </c:pt>
                <c:pt idx="13">
                  <c:v>367</c:v>
                </c:pt>
                <c:pt idx="14">
                  <c:v>522</c:v>
                </c:pt>
                <c:pt idx="15">
                  <c:v>1020</c:v>
                </c:pt>
                <c:pt idx="16">
                  <c:v>259</c:v>
                </c:pt>
                <c:pt idx="17">
                  <c:v>1055</c:v>
                </c:pt>
                <c:pt idx="18">
                  <c:v>318</c:v>
                </c:pt>
                <c:pt idx="19">
                  <c:v>92</c:v>
                </c:pt>
                <c:pt idx="20">
                  <c:v>656</c:v>
                </c:pt>
                <c:pt idx="21">
                  <c:v>393</c:v>
                </c:pt>
                <c:pt idx="22">
                  <c:v>347</c:v>
                </c:pt>
                <c:pt idx="23">
                  <c:v>731</c:v>
                </c:pt>
                <c:pt idx="24">
                  <c:v>973</c:v>
                </c:pt>
                <c:pt idx="25">
                  <c:v>382</c:v>
                </c:pt>
                <c:pt idx="26">
                  <c:v>417</c:v>
                </c:pt>
                <c:pt idx="27">
                  <c:v>592</c:v>
                </c:pt>
                <c:pt idx="28">
                  <c:v>248</c:v>
                </c:pt>
                <c:pt idx="29">
                  <c:v>474</c:v>
                </c:pt>
              </c:numCache>
            </c:numRef>
          </c:val>
          <c:extLst>
            <c:ext xmlns:c16="http://schemas.microsoft.com/office/drawing/2014/chart" uri="{C3380CC4-5D6E-409C-BE32-E72D297353CC}">
              <c16:uniqueId val="{00000002-52E1-4E07-99DE-BCCA38634074}"/>
            </c:ext>
          </c:extLst>
        </c:ser>
        <c:dLbls>
          <c:dLblPos val="inEnd"/>
          <c:showLegendKey val="0"/>
          <c:showVal val="1"/>
          <c:showCatName val="0"/>
          <c:showSerName val="0"/>
          <c:showPercent val="0"/>
          <c:showBubbleSize val="0"/>
        </c:dLbls>
        <c:gapWidth val="100"/>
        <c:overlap val="-24"/>
        <c:axId val="524323232"/>
        <c:axId val="524326592"/>
      </c:barChart>
      <c:catAx>
        <c:axId val="524323232"/>
        <c:scaling>
          <c:orientation val="minMax"/>
        </c:scaling>
        <c:delete val="0"/>
        <c:axPos val="b"/>
        <c:numFmt formatCode="General"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24326592"/>
        <c:crosses val="autoZero"/>
        <c:auto val="1"/>
        <c:lblAlgn val="ctr"/>
        <c:lblOffset val="100"/>
        <c:noMultiLvlLbl val="0"/>
      </c:catAx>
      <c:valAx>
        <c:axId val="524326592"/>
        <c:scaling>
          <c:orientation val="minMax"/>
        </c:scaling>
        <c:delete val="0"/>
        <c:axPos val="l"/>
        <c:majorGridlines>
          <c:spPr>
            <a:ln w="12700" cap="flat" cmpd="sng" algn="ctr">
              <a:solidFill>
                <a:schemeClr val="accent2"/>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524323232"/>
        <c:crosses val="autoZero"/>
        <c:crossBetween val="between"/>
      </c:valAx>
      <c:spPr>
        <a:noFill/>
        <a:ln w="9525" cap="flat" cmpd="sng" algn="ctr">
          <a:solidFill>
            <a:schemeClr val="accent2"/>
          </a:solidFill>
          <a:prstDash val="solid"/>
          <a:round/>
          <a:headEnd type="none" w="med" len="med"/>
          <a:tailEnd type="none" w="med" len="med"/>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chart>
  <c:spPr>
    <a:noFill/>
    <a:ln w="19050" cap="flat" cmpd="sng" algn="ctr">
      <a:no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[Pineda_Merging Data.xlsx]AllData!PivotTable3</c:name>
    <c:fmtId val="5"/>
  </c:pivotSource>
  <c:chart>
    <c:title>
      <c:tx>
        <c:rich>
          <a:bodyPr rot="0" spcFirstLastPara="1" vertOverflow="ellipsis" vert="horz" wrap="square" anchor="ctr" anchorCtr="1"/>
          <a:lstStyle/>
          <a:p>
            <a:pPr>
              <a:defRPr sz="16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j-lt"/>
                <a:ea typeface="+mj-ea"/>
                <a:cs typeface="+mj-cs"/>
              </a:defRPr>
            </a:pPr>
            <a:r>
              <a:rPr lang="en-US"/>
              <a:t>Balance in Stock</a:t>
            </a:r>
          </a:p>
        </c:rich>
      </c:tx>
      <c:overlay val="0"/>
      <c:spPr>
        <a:noFill/>
        <a:ln>
          <a:noFill/>
        </a:ln>
        <a:effectLst/>
      </c:spPr>
      <c:txPr>
        <a:bodyPr rot="0" spcFirstLastPara="1" vertOverflow="ellipsis" vert="horz" wrap="square" anchor="ctr" anchorCtr="1"/>
        <a:lstStyle/>
        <a:p>
          <a:pPr>
            <a:defRPr sz="16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j-lt"/>
              <a:ea typeface="+mj-ea"/>
              <a:cs typeface="+mj-cs"/>
            </a:defRPr>
          </a:pPr>
          <a:endParaRPr lang="en-US"/>
        </a:p>
      </c:txPr>
    </c:title>
    <c:autoTitleDeleted val="0"/>
    <c:pivotFmts>
      <c:pivotFmt>
        <c:idx val="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11"/>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12"/>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13"/>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14"/>
        <c:spPr>
          <a:gradFill>
            <a:gsLst>
              <a:gs pos="100000">
                <a:schemeClr val="accent6">
                  <a:lumMod val="60000"/>
                  <a:lumOff val="40000"/>
                </a:schemeClr>
              </a:gs>
              <a:gs pos="0">
                <a:schemeClr val="accent6"/>
              </a:gs>
            </a:gsLst>
            <a:lin ang="5400000" scaled="0"/>
          </a:gradFill>
          <a:ln w="19050">
            <a:solidFill>
              <a:schemeClr val="lt1"/>
            </a:solidFill>
          </a:ln>
          <a:effectLst/>
        </c:spPr>
      </c:pivotFmt>
    </c:pivotFmts>
    <c:plotArea>
      <c:layout/>
      <c:pieChart>
        <c:varyColors val="1"/>
        <c:ser>
          <c:idx val="0"/>
          <c:order val="0"/>
          <c:tx>
            <c:strRef>
              <c:f>AllData!$I$1</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A28D-4248-8AA3-C9C39A6D544B}"/>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A28D-4248-8AA3-C9C39A6D544B}"/>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A28D-4248-8AA3-C9C39A6D544B}"/>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A28D-4248-8AA3-C9C39A6D544B}"/>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A28D-4248-8AA3-C9C39A6D544B}"/>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A28D-4248-8AA3-C9C39A6D544B}"/>
              </c:ext>
            </c:extLst>
          </c:dPt>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AllData!$H$2:$H$8</c:f>
              <c:strCache>
                <c:ptCount val="6"/>
                <c:pt idx="0">
                  <c:v>Store 1</c:v>
                </c:pt>
                <c:pt idx="1">
                  <c:v>Store 2</c:v>
                </c:pt>
                <c:pt idx="2">
                  <c:v>Store 3</c:v>
                </c:pt>
                <c:pt idx="3">
                  <c:v>Warehouse A</c:v>
                </c:pt>
                <c:pt idx="4">
                  <c:v>Warehouse B</c:v>
                </c:pt>
                <c:pt idx="5">
                  <c:v>Warehouse C</c:v>
                </c:pt>
              </c:strCache>
            </c:strRef>
          </c:cat>
          <c:val>
            <c:numRef>
              <c:f>AllData!$I$2:$I$8</c:f>
              <c:numCache>
                <c:formatCode>General</c:formatCode>
                <c:ptCount val="6"/>
                <c:pt idx="0">
                  <c:v>4325</c:v>
                </c:pt>
                <c:pt idx="1">
                  <c:v>3759</c:v>
                </c:pt>
                <c:pt idx="2">
                  <c:v>2851</c:v>
                </c:pt>
                <c:pt idx="3">
                  <c:v>3081</c:v>
                </c:pt>
                <c:pt idx="4">
                  <c:v>2488</c:v>
                </c:pt>
                <c:pt idx="5">
                  <c:v>1748</c:v>
                </c:pt>
              </c:numCache>
            </c:numRef>
          </c:val>
          <c:extLst>
            <c:ext xmlns:c16="http://schemas.microsoft.com/office/drawing/2014/chart" uri="{C3380CC4-5D6E-409C-BE32-E72D297353CC}">
              <c16:uniqueId val="{0000000C-A28D-4248-8AA3-C9C39A6D544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dk1">
          <a:lumMod val="15000"/>
          <a:lumOff val="85000"/>
        </a:schemeClr>
      </a:solidFill>
      <a:round/>
    </a:ln>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[Pineda_Merging Data.xlsx]AllData!PivotTable4</c:name>
    <c:fmtId val="5"/>
  </c:pivotSource>
  <c:chart>
    <c:title>
      <c:tx>
        <c:rich>
          <a:bodyPr rot="0" spcFirstLastPara="1" vertOverflow="ellipsis" vert="horz" wrap="square" anchor="ctr" anchorCtr="1"/>
          <a:lstStyle/>
          <a:p>
            <a:pPr>
              <a:defRPr sz="16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j-lt"/>
                <a:ea typeface="+mj-ea"/>
                <a:cs typeface="+mj-cs"/>
              </a:defRPr>
            </a:pPr>
            <a:r>
              <a:rPr lang="en-US"/>
              <a:t>Balance in location</a:t>
            </a:r>
          </a:p>
        </c:rich>
      </c:tx>
      <c:overlay val="0"/>
      <c:spPr>
        <a:noFill/>
        <a:ln>
          <a:noFill/>
        </a:ln>
        <a:effectLst/>
      </c:spPr>
      <c:txPr>
        <a:bodyPr rot="0" spcFirstLastPara="1" vertOverflow="ellipsis" vert="horz" wrap="square" anchor="ctr" anchorCtr="1"/>
        <a:lstStyle/>
        <a:p>
          <a:pPr>
            <a:defRPr sz="1600" b="0" i="0" u="none" strike="noStrike" kern="1200" cap="none" spc="0" normalizeH="0" baseline="0">
              <a:ln w="0"/>
              <a:solidFill>
                <a:schemeClr val="tx1"/>
              </a:solidFill>
              <a:effectLst>
                <a:outerShdw blurRad="38100" dist="19050" dir="2700000" algn="tl" rotWithShape="0">
                  <a:schemeClr val="dk1">
                    <a:alpha val="40000"/>
                  </a:schemeClr>
                </a:outerShdw>
              </a:effectLst>
              <a:latin typeface="+mj-lt"/>
              <a:ea typeface="+mj-ea"/>
              <a:cs typeface="+mj-cs"/>
            </a:defRPr>
          </a:pPr>
          <a:endParaRPr lang="en-US"/>
        </a:p>
      </c:txPr>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10"/>
        <c:spPr>
          <a:gradFill>
            <a:gsLst>
              <a:gs pos="100000">
                <a:schemeClr val="accent2">
                  <a:lumMod val="60000"/>
                  <a:lumOff val="40000"/>
                </a:schemeClr>
              </a:gs>
              <a:gs pos="0">
                <a:schemeClr val="accent2"/>
              </a:gs>
            </a:gsLst>
            <a:lin ang="5400000" scaled="0"/>
          </a:gradFill>
          <a:ln w="19050">
            <a:solidFill>
              <a:schemeClr val="lt1"/>
            </a:solidFill>
          </a:ln>
          <a:effectLst/>
        </c:spPr>
      </c:pivotFmt>
      <c:pivotFmt>
        <c:idx val="11"/>
        <c:spPr>
          <a:gradFill>
            <a:gsLst>
              <a:gs pos="100000">
                <a:schemeClr val="accent3">
                  <a:lumMod val="60000"/>
                  <a:lumOff val="40000"/>
                </a:schemeClr>
              </a:gs>
              <a:gs pos="0">
                <a:schemeClr val="accent3"/>
              </a:gs>
            </a:gsLst>
            <a:lin ang="5400000" scaled="0"/>
          </a:gradFill>
          <a:ln w="19050">
            <a:solidFill>
              <a:schemeClr val="lt1"/>
            </a:solidFill>
          </a:ln>
          <a:effectLst/>
        </c:spPr>
      </c:pivotFmt>
      <c:pivotFmt>
        <c:idx val="12"/>
        <c:spPr>
          <a:gradFill>
            <a:gsLst>
              <a:gs pos="100000">
                <a:schemeClr val="accent4">
                  <a:lumMod val="60000"/>
                  <a:lumOff val="40000"/>
                </a:schemeClr>
              </a:gs>
              <a:gs pos="0">
                <a:schemeClr val="accent4"/>
              </a:gs>
            </a:gsLst>
            <a:lin ang="5400000" scaled="0"/>
          </a:gradFill>
          <a:ln w="19050">
            <a:solidFill>
              <a:schemeClr val="lt1"/>
            </a:solidFill>
          </a:ln>
          <a:effectLst/>
        </c:spPr>
      </c:pivotFmt>
      <c:pivotFmt>
        <c:idx val="13"/>
        <c:spPr>
          <a:gradFill>
            <a:gsLst>
              <a:gs pos="100000">
                <a:schemeClr val="accent5">
                  <a:lumMod val="60000"/>
                  <a:lumOff val="40000"/>
                </a:schemeClr>
              </a:gs>
              <a:gs pos="0">
                <a:schemeClr val="accent5"/>
              </a:gs>
            </a:gsLst>
            <a:lin ang="5400000" scaled="0"/>
          </a:gradFill>
          <a:ln w="19050">
            <a:solidFill>
              <a:schemeClr val="lt1"/>
            </a:solidFill>
          </a:ln>
          <a:effectLst/>
        </c:spPr>
      </c:pivotFmt>
      <c:pivotFmt>
        <c:idx val="14"/>
        <c:spPr>
          <a:gradFill>
            <a:gsLst>
              <a:gs pos="100000">
                <a:schemeClr val="accent6">
                  <a:lumMod val="60000"/>
                  <a:lumOff val="40000"/>
                </a:schemeClr>
              </a:gs>
              <a:gs pos="0">
                <a:schemeClr val="accent6"/>
              </a:gs>
            </a:gsLst>
            <a:lin ang="5400000" scaled="0"/>
          </a:gradFill>
          <a:ln w="19050">
            <a:solidFill>
              <a:schemeClr val="lt1"/>
            </a:solidFill>
          </a:ln>
          <a:effectLst/>
        </c:spPr>
      </c:pivotFmt>
    </c:pivotFmts>
    <c:plotArea>
      <c:layout/>
      <c:doughnutChart>
        <c:varyColors val="1"/>
        <c:ser>
          <c:idx val="0"/>
          <c:order val="0"/>
          <c:tx>
            <c:strRef>
              <c:f>AllData!$L$1</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0BD1-4BCF-95DA-5DEF000C283B}"/>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0BD1-4BCF-95DA-5DEF000C283B}"/>
              </c:ext>
            </c:extLst>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extLst>
              <c:ext xmlns:c16="http://schemas.microsoft.com/office/drawing/2014/chart" uri="{C3380CC4-5D6E-409C-BE32-E72D297353CC}">
                <c16:uniqueId val="{00000005-0BD1-4BCF-95DA-5DEF000C283B}"/>
              </c:ext>
            </c:extLst>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extLst>
              <c:ext xmlns:c16="http://schemas.microsoft.com/office/drawing/2014/chart" uri="{C3380CC4-5D6E-409C-BE32-E72D297353CC}">
                <c16:uniqueId val="{00000007-0BD1-4BCF-95DA-5DEF000C283B}"/>
              </c:ext>
            </c:extLst>
          </c:dPt>
          <c:dPt>
            <c:idx val="4"/>
            <c:bubble3D val="0"/>
            <c:spPr>
              <a:gradFill>
                <a:gsLst>
                  <a:gs pos="100000">
                    <a:schemeClr val="accent5">
                      <a:lumMod val="60000"/>
                      <a:lumOff val="40000"/>
                    </a:schemeClr>
                  </a:gs>
                  <a:gs pos="0">
                    <a:schemeClr val="accent5"/>
                  </a:gs>
                </a:gsLst>
                <a:lin ang="5400000" scaled="0"/>
              </a:gradFill>
              <a:ln w="19050">
                <a:solidFill>
                  <a:schemeClr val="lt1"/>
                </a:solidFill>
              </a:ln>
              <a:effectLst/>
            </c:spPr>
            <c:extLst>
              <c:ext xmlns:c16="http://schemas.microsoft.com/office/drawing/2014/chart" uri="{C3380CC4-5D6E-409C-BE32-E72D297353CC}">
                <c16:uniqueId val="{00000009-0BD1-4BCF-95DA-5DEF000C283B}"/>
              </c:ext>
            </c:extLst>
          </c:dPt>
          <c:dPt>
            <c:idx val="5"/>
            <c:bubble3D val="0"/>
            <c:spPr>
              <a:gradFill>
                <a:gsLst>
                  <a:gs pos="100000">
                    <a:schemeClr val="accent6">
                      <a:lumMod val="60000"/>
                      <a:lumOff val="40000"/>
                    </a:schemeClr>
                  </a:gs>
                  <a:gs pos="0">
                    <a:schemeClr val="accent6"/>
                  </a:gs>
                </a:gsLst>
                <a:lin ang="5400000" scaled="0"/>
              </a:gradFill>
              <a:ln w="19050">
                <a:solidFill>
                  <a:schemeClr val="lt1"/>
                </a:solidFill>
              </a:ln>
              <a:effectLst/>
            </c:spPr>
            <c:extLst>
              <c:ext xmlns:c16="http://schemas.microsoft.com/office/drawing/2014/chart" uri="{C3380CC4-5D6E-409C-BE32-E72D297353CC}">
                <c16:uniqueId val="{0000000B-0BD1-4BCF-95DA-5DEF000C283B}"/>
              </c:ext>
            </c:extLst>
          </c:dPt>
          <c:dLbls>
            <c:spPr>
              <a:no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AllData!$K$2:$K$8</c:f>
              <c:strCache>
                <c:ptCount val="6"/>
                <c:pt idx="0">
                  <c:v>Store 1</c:v>
                </c:pt>
                <c:pt idx="1">
                  <c:v>Store 2</c:v>
                </c:pt>
                <c:pt idx="2">
                  <c:v>Store 3</c:v>
                </c:pt>
                <c:pt idx="3">
                  <c:v>Warehouse A</c:v>
                </c:pt>
                <c:pt idx="4">
                  <c:v>Warehouse B</c:v>
                </c:pt>
                <c:pt idx="5">
                  <c:v>Warehouse C</c:v>
                </c:pt>
              </c:strCache>
            </c:strRef>
          </c:cat>
          <c:val>
            <c:numRef>
              <c:f>AllData!$L$2:$L$8</c:f>
              <c:numCache>
                <c:formatCode>General</c:formatCode>
                <c:ptCount val="6"/>
                <c:pt idx="0">
                  <c:v>62229</c:v>
                </c:pt>
                <c:pt idx="1">
                  <c:v>89091</c:v>
                </c:pt>
                <c:pt idx="2">
                  <c:v>75777</c:v>
                </c:pt>
                <c:pt idx="3">
                  <c:v>31168</c:v>
                </c:pt>
                <c:pt idx="4">
                  <c:v>40550</c:v>
                </c:pt>
                <c:pt idx="5">
                  <c:v>41767</c:v>
                </c:pt>
              </c:numCache>
            </c:numRef>
          </c:val>
          <c:extLst>
            <c:ext xmlns:c16="http://schemas.microsoft.com/office/drawing/2014/chart" uri="{C3380CC4-5D6E-409C-BE32-E72D297353CC}">
              <c16:uniqueId val="{0000000C-0BD1-4BCF-95DA-5DEF000C283B}"/>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sx="1000" sy="1000" algn="l" rotWithShape="0">
        <a:prstClr val="black"/>
      </a:outerShdw>
    </a:effectLst>
  </c:spPr>
  <c:txPr>
    <a:bodyPr/>
    <a:lstStyle/>
    <a:p>
      <a:pPr>
        <a:defRPr b="0" cap="none" spc="0">
          <a:ln w="0"/>
          <a:solidFill>
            <a:schemeClr val="tx1"/>
          </a:solidFill>
          <a:effectLst>
            <a:outerShdw blurRad="38100" dist="19050" dir="2700000" algn="tl" rotWithShape="0">
              <a:schemeClr val="dk1">
                <a:alpha val="40000"/>
              </a:schemeClr>
            </a:outerShdw>
          </a:effectLst>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6">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469726</xdr:colOff>
      <xdr:row>18</xdr:row>
      <xdr:rowOff>110647</xdr:rowOff>
    </xdr:from>
    <xdr:to>
      <xdr:col>12</xdr:col>
      <xdr:colOff>31315</xdr:colOff>
      <xdr:row>33</xdr:row>
      <xdr:rowOff>35490</xdr:rowOff>
    </xdr:to>
    <xdr:graphicFrame macro="">
      <xdr:nvGraphicFramePr>
        <xdr:cNvPr id="2" name="Chart 1">
          <a:extLst>
            <a:ext uri="{FF2B5EF4-FFF2-40B4-BE49-F238E27FC236}">
              <a16:creationId xmlns:a16="http://schemas.microsoft.com/office/drawing/2014/main" id="{5C728D93-939C-8930-D62A-DF70A63C39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469726</xdr:colOff>
      <xdr:row>33</xdr:row>
      <xdr:rowOff>141961</xdr:rowOff>
    </xdr:from>
    <xdr:to>
      <xdr:col>12</xdr:col>
      <xdr:colOff>31315</xdr:colOff>
      <xdr:row>48</xdr:row>
      <xdr:rowOff>66805</xdr:rowOff>
    </xdr:to>
    <xdr:graphicFrame macro="">
      <xdr:nvGraphicFramePr>
        <xdr:cNvPr id="3" name="Chart 2">
          <a:extLst>
            <a:ext uri="{FF2B5EF4-FFF2-40B4-BE49-F238E27FC236}">
              <a16:creationId xmlns:a16="http://schemas.microsoft.com/office/drawing/2014/main" id="{40E6FD5C-EEA8-D93E-233C-FC3B251F3E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547688</xdr:colOff>
      <xdr:row>35</xdr:row>
      <xdr:rowOff>176212</xdr:rowOff>
    </xdr:from>
    <xdr:to>
      <xdr:col>7</xdr:col>
      <xdr:colOff>1381125</xdr:colOff>
      <xdr:row>50</xdr:row>
      <xdr:rowOff>180975</xdr:rowOff>
    </xdr:to>
    <xdr:graphicFrame macro="">
      <xdr:nvGraphicFramePr>
        <xdr:cNvPr id="4" name="Chart 3">
          <a:extLst>
            <a:ext uri="{FF2B5EF4-FFF2-40B4-BE49-F238E27FC236}">
              <a16:creationId xmlns:a16="http://schemas.microsoft.com/office/drawing/2014/main" id="{91F3A495-8BE7-B12A-C905-28D6D09D42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230187</xdr:colOff>
      <xdr:row>52</xdr:row>
      <xdr:rowOff>33338</xdr:rowOff>
    </xdr:from>
    <xdr:to>
      <xdr:col>7</xdr:col>
      <xdr:colOff>1674812</xdr:colOff>
      <xdr:row>67</xdr:row>
      <xdr:rowOff>38100</xdr:rowOff>
    </xdr:to>
    <xdr:graphicFrame macro="">
      <xdr:nvGraphicFramePr>
        <xdr:cNvPr id="5" name="Chart 4">
          <a:extLst>
            <a:ext uri="{FF2B5EF4-FFF2-40B4-BE49-F238E27FC236}">
              <a16:creationId xmlns:a16="http://schemas.microsoft.com/office/drawing/2014/main" id="{E096D88A-C86B-C901-D357-309495A657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28</xdr:col>
      <xdr:colOff>105041</xdr:colOff>
      <xdr:row>36</xdr:row>
      <xdr:rowOff>63704</xdr:rowOff>
    </xdr:from>
    <xdr:to>
      <xdr:col>34</xdr:col>
      <xdr:colOff>520677</xdr:colOff>
      <xdr:row>46</xdr:row>
      <xdr:rowOff>319469</xdr:rowOff>
    </xdr:to>
    <xdr:sp macro="" textlink="AllData!$H$13">
      <xdr:nvSpPr>
        <xdr:cNvPr id="2" name="Flowchart: Alternate Process 1">
          <a:extLst>
            <a:ext uri="{FF2B5EF4-FFF2-40B4-BE49-F238E27FC236}">
              <a16:creationId xmlns:a16="http://schemas.microsoft.com/office/drawing/2014/main" id="{D54C9539-B2B3-5BB6-2FF3-F727F92EE614}"/>
            </a:ext>
          </a:extLst>
        </xdr:cNvPr>
        <xdr:cNvSpPr/>
      </xdr:nvSpPr>
      <xdr:spPr>
        <a:xfrm>
          <a:off x="17076859" y="6609977"/>
          <a:ext cx="4052454" cy="2074174"/>
        </a:xfrm>
        <a:prstGeom prst="flowChartAlternateProcess">
          <a:avLst/>
        </a:prstGeom>
        <a:solidFill>
          <a:schemeClr val="accent2">
            <a:lumMod val="20000"/>
            <a:lumOff val="80000"/>
          </a:schemeClr>
        </a:solidFill>
        <a:ln>
          <a:noFill/>
        </a:ln>
        <a:effectLst>
          <a:outerShdw blurRad="127000" dist="38100" dir="2700000" algn="ctr">
            <a:srgbClr val="000000">
              <a:alpha val="45000"/>
            </a:srgbClr>
          </a:outerShdw>
        </a:effectLst>
        <a:scene3d>
          <a:camera prst="perspectiveFront" fov="2700000">
            <a:rot lat="20376000" lon="1938000" rev="20112001"/>
          </a:camera>
          <a:lightRig rig="soft" dir="t">
            <a:rot lat="0" lon="0" rev="0"/>
          </a:lightRig>
        </a:scene3d>
        <a:sp3d prstMaterial="translucentPowder">
          <a:bevelT w="203200" h="50800" prst="softRound"/>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E98B4C70-4E82-4A91-88E3-156377E0A77C}" type="TxLink">
            <a:rPr lang="en-US" sz="8000" b="0" i="0" u="none" strike="noStrike">
              <a:ln>
                <a:solidFill>
                  <a:schemeClr val="tx1">
                    <a:lumMod val="65000"/>
                    <a:lumOff val="35000"/>
                  </a:schemeClr>
                </a:solidFill>
              </a:ln>
              <a:solidFill>
                <a:schemeClr val="accent2">
                  <a:lumMod val="60000"/>
                  <a:lumOff val="40000"/>
                </a:schemeClr>
              </a:solidFill>
              <a:latin typeface="Aptos Narrow"/>
            </a:rPr>
            <a:pPr algn="ctr"/>
            <a:t>5501</a:t>
          </a:fld>
          <a:endParaRPr lang="en-PH" sz="8000">
            <a:ln>
              <a:solidFill>
                <a:schemeClr val="tx1">
                  <a:lumMod val="65000"/>
                  <a:lumOff val="35000"/>
                </a:schemeClr>
              </a:solidFill>
            </a:ln>
            <a:solidFill>
              <a:schemeClr val="accent2">
                <a:lumMod val="60000"/>
                <a:lumOff val="40000"/>
              </a:schemeClr>
            </a:solidFill>
          </a:endParaRPr>
        </a:p>
      </xdr:txBody>
    </xdr:sp>
    <xdr:clientData/>
  </xdr:twoCellAnchor>
  <xdr:twoCellAnchor>
    <xdr:from>
      <xdr:col>35</xdr:col>
      <xdr:colOff>373587</xdr:colOff>
      <xdr:row>36</xdr:row>
      <xdr:rowOff>71710</xdr:rowOff>
    </xdr:from>
    <xdr:to>
      <xdr:col>42</xdr:col>
      <xdr:colOff>187263</xdr:colOff>
      <xdr:row>47</xdr:row>
      <xdr:rowOff>152920</xdr:rowOff>
    </xdr:to>
    <xdr:sp macro="" textlink="AllData!$H$16">
      <xdr:nvSpPr>
        <xdr:cNvPr id="5" name="Flowchart: Alternate Process 4">
          <a:extLst>
            <a:ext uri="{FF2B5EF4-FFF2-40B4-BE49-F238E27FC236}">
              <a16:creationId xmlns:a16="http://schemas.microsoft.com/office/drawing/2014/main" id="{A8D2240D-13FC-D1F0-7F75-5156682DF35F}"/>
            </a:ext>
          </a:extLst>
        </xdr:cNvPr>
        <xdr:cNvSpPr/>
      </xdr:nvSpPr>
      <xdr:spPr>
        <a:xfrm>
          <a:off x="6469587" y="4934655"/>
          <a:ext cx="4080876" cy="2062410"/>
        </a:xfrm>
        <a:prstGeom prst="flowChartAlternateProcess">
          <a:avLst/>
        </a:prstGeom>
        <a:solidFill>
          <a:schemeClr val="accent2">
            <a:lumMod val="20000"/>
            <a:lumOff val="80000"/>
          </a:schemeClr>
        </a:solidFill>
        <a:ln>
          <a:noFill/>
        </a:ln>
        <a:effectLst>
          <a:outerShdw blurRad="127000" dist="38100" dir="2700000" algn="ctr">
            <a:srgbClr val="000000">
              <a:alpha val="45000"/>
            </a:srgbClr>
          </a:outerShdw>
        </a:effectLst>
        <a:scene3d>
          <a:camera prst="perspectiveFront" fov="2700000">
            <a:rot lat="20376000" lon="1938000" rev="20112001"/>
          </a:camera>
          <a:lightRig rig="soft" dir="t">
            <a:rot lat="0" lon="0" rev="0"/>
          </a:lightRig>
        </a:scene3d>
        <a:sp3d prstMaterial="translucentPowder">
          <a:bevelT w="203200" h="50800" prst="softRound"/>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910F0EFB-D056-4982-9A7A-794A806AA0A4}" type="TxLink">
            <a:rPr lang="en-US" sz="8000" b="0" i="0" u="none" strike="noStrike">
              <a:ln>
                <a:solidFill>
                  <a:schemeClr val="tx1">
                    <a:lumMod val="65000"/>
                    <a:lumOff val="35000"/>
                  </a:schemeClr>
                </a:solidFill>
              </a:ln>
              <a:solidFill>
                <a:schemeClr val="accent2">
                  <a:lumMod val="60000"/>
                  <a:lumOff val="40000"/>
                </a:schemeClr>
              </a:solidFill>
              <a:latin typeface="Aptos Narrow"/>
            </a:rPr>
            <a:pPr algn="ctr"/>
            <a:t>4796</a:t>
          </a:fld>
          <a:endParaRPr lang="en-PH" sz="8000">
            <a:ln>
              <a:solidFill>
                <a:schemeClr val="tx1">
                  <a:lumMod val="65000"/>
                  <a:lumOff val="35000"/>
                </a:schemeClr>
              </a:solidFill>
            </a:ln>
            <a:solidFill>
              <a:schemeClr val="accent2">
                <a:lumMod val="60000"/>
                <a:lumOff val="40000"/>
              </a:schemeClr>
            </a:solidFill>
          </a:endParaRPr>
        </a:p>
      </xdr:txBody>
    </xdr:sp>
    <xdr:clientData/>
  </xdr:twoCellAnchor>
  <xdr:twoCellAnchor>
    <xdr:from>
      <xdr:col>42</xdr:col>
      <xdr:colOff>311271</xdr:colOff>
      <xdr:row>35</xdr:row>
      <xdr:rowOff>145335</xdr:rowOff>
    </xdr:from>
    <xdr:to>
      <xdr:col>49</xdr:col>
      <xdr:colOff>120770</xdr:colOff>
      <xdr:row>47</xdr:row>
      <xdr:rowOff>43734</xdr:rowOff>
    </xdr:to>
    <xdr:sp macro="" textlink="AllData!$H$19">
      <xdr:nvSpPr>
        <xdr:cNvPr id="7" name="Flowchart: Alternate Process 6">
          <a:extLst>
            <a:ext uri="{FF2B5EF4-FFF2-40B4-BE49-F238E27FC236}">
              <a16:creationId xmlns:a16="http://schemas.microsoft.com/office/drawing/2014/main" id="{8A1A51AF-17AF-0C03-1B18-7A0F6E15A66F}"/>
            </a:ext>
          </a:extLst>
        </xdr:cNvPr>
        <xdr:cNvSpPr/>
      </xdr:nvSpPr>
      <xdr:spPr>
        <a:xfrm>
          <a:off x="10674471" y="4768135"/>
          <a:ext cx="4076699" cy="2247899"/>
        </a:xfrm>
        <a:prstGeom prst="flowChartAlternateProcess">
          <a:avLst/>
        </a:prstGeom>
        <a:solidFill>
          <a:schemeClr val="accent2">
            <a:lumMod val="20000"/>
            <a:lumOff val="80000"/>
          </a:schemeClr>
        </a:solidFill>
        <a:ln>
          <a:noFill/>
        </a:ln>
        <a:effectLst>
          <a:outerShdw blurRad="127000" dist="38100" dir="2700000" algn="ctr">
            <a:srgbClr val="000000">
              <a:alpha val="45000"/>
            </a:srgbClr>
          </a:outerShdw>
        </a:effectLst>
        <a:scene3d>
          <a:camera prst="perspectiveFront" fov="2700000">
            <a:rot lat="20376000" lon="1938000" rev="20112001"/>
          </a:camera>
          <a:lightRig rig="soft" dir="t">
            <a:rot lat="0" lon="0" rev="0"/>
          </a:lightRig>
        </a:scene3d>
        <a:sp3d prstMaterial="translucentPowder">
          <a:bevelT w="203200" h="50800" prst="softRound"/>
        </a:sp3d>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fld id="{0F750536-A1DA-4627-9BD4-96A3655DF963}" type="TxLink">
            <a:rPr lang="en-US" sz="8000" b="0" i="0" u="none" strike="noStrike">
              <a:ln>
                <a:solidFill>
                  <a:schemeClr val="tx1">
                    <a:lumMod val="65000"/>
                    <a:lumOff val="35000"/>
                  </a:schemeClr>
                </a:solidFill>
              </a:ln>
              <a:solidFill>
                <a:schemeClr val="accent2">
                  <a:lumMod val="60000"/>
                  <a:lumOff val="40000"/>
                </a:schemeClr>
              </a:solidFill>
              <a:latin typeface="Aptos Narrow"/>
            </a:rPr>
            <a:pPr algn="ctr"/>
            <a:t>18252</a:t>
          </a:fld>
          <a:endParaRPr lang="en-PH" sz="8000">
            <a:ln>
              <a:solidFill>
                <a:schemeClr val="tx1">
                  <a:lumMod val="65000"/>
                  <a:lumOff val="35000"/>
                </a:schemeClr>
              </a:solidFill>
            </a:ln>
            <a:solidFill>
              <a:schemeClr val="accent2">
                <a:lumMod val="60000"/>
                <a:lumOff val="40000"/>
              </a:schemeClr>
            </a:solidFill>
          </a:endParaRPr>
        </a:p>
      </xdr:txBody>
    </xdr:sp>
    <xdr:clientData/>
  </xdr:twoCellAnchor>
  <xdr:twoCellAnchor>
    <xdr:from>
      <xdr:col>41</xdr:col>
      <xdr:colOff>121921</xdr:colOff>
      <xdr:row>49</xdr:row>
      <xdr:rowOff>116492</xdr:rowOff>
    </xdr:from>
    <xdr:to>
      <xdr:col>54</xdr:col>
      <xdr:colOff>457201</xdr:colOff>
      <xdr:row>69</xdr:row>
      <xdr:rowOff>121920</xdr:rowOff>
    </xdr:to>
    <xdr:sp macro="" textlink="">
      <xdr:nvSpPr>
        <xdr:cNvPr id="16" name="Flowchart: Alternate Process 15">
          <a:extLst>
            <a:ext uri="{FF2B5EF4-FFF2-40B4-BE49-F238E27FC236}">
              <a16:creationId xmlns:a16="http://schemas.microsoft.com/office/drawing/2014/main" id="{BC44FFA4-1EFF-72D1-6BC2-1C3690D2129B}"/>
            </a:ext>
          </a:extLst>
        </xdr:cNvPr>
        <xdr:cNvSpPr/>
      </xdr:nvSpPr>
      <xdr:spPr>
        <a:xfrm>
          <a:off x="9875521" y="7645052"/>
          <a:ext cx="8260080" cy="3663028"/>
        </a:xfrm>
        <a:prstGeom prst="flowChartAlternateProcess">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50800" dir="5400000" sx="104000" sy="104000" algn="ctr" rotWithShape="0">
            <a:srgbClr val="000000"/>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PH" sz="1100"/>
        </a:p>
      </xdr:txBody>
    </xdr:sp>
    <xdr:clientData/>
  </xdr:twoCellAnchor>
  <xdr:twoCellAnchor>
    <xdr:from>
      <xdr:col>41</xdr:col>
      <xdr:colOff>213433</xdr:colOff>
      <xdr:row>50</xdr:row>
      <xdr:rowOff>147350</xdr:rowOff>
    </xdr:from>
    <xdr:to>
      <xdr:col>54</xdr:col>
      <xdr:colOff>342900</xdr:colOff>
      <xdr:row>69</xdr:row>
      <xdr:rowOff>13370</xdr:rowOff>
    </xdr:to>
    <xdr:graphicFrame macro="">
      <xdr:nvGraphicFramePr>
        <xdr:cNvPr id="22" name="Chart 21">
          <a:extLst>
            <a:ext uri="{FF2B5EF4-FFF2-40B4-BE49-F238E27FC236}">
              <a16:creationId xmlns:a16="http://schemas.microsoft.com/office/drawing/2014/main" id="{D50FFEA5-8B88-43AE-A395-63FA5F74A9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462291</xdr:colOff>
      <xdr:row>49</xdr:row>
      <xdr:rowOff>122810</xdr:rowOff>
    </xdr:from>
    <xdr:to>
      <xdr:col>40</xdr:col>
      <xdr:colOff>106680</xdr:colOff>
      <xdr:row>69</xdr:row>
      <xdr:rowOff>106679</xdr:rowOff>
    </xdr:to>
    <xdr:sp macro="" textlink="">
      <xdr:nvSpPr>
        <xdr:cNvPr id="25" name="Flowchart: Alternate Process 24">
          <a:extLst>
            <a:ext uri="{FF2B5EF4-FFF2-40B4-BE49-F238E27FC236}">
              <a16:creationId xmlns:a16="http://schemas.microsoft.com/office/drawing/2014/main" id="{7516E5C8-7010-C801-E363-9B5A23823884}"/>
            </a:ext>
          </a:extLst>
        </xdr:cNvPr>
        <xdr:cNvSpPr/>
      </xdr:nvSpPr>
      <xdr:spPr>
        <a:xfrm>
          <a:off x="462291" y="7651370"/>
          <a:ext cx="8788389" cy="3641469"/>
        </a:xfrm>
        <a:prstGeom prst="flowChartAlternateProcess">
          <a:avLst/>
        </a:prstGeom>
        <a:noFill/>
        <a:ln>
          <a:gradFill flip="none" rotWithShape="1">
            <a:gsLst>
              <a:gs pos="42624">
                <a:srgbClr val="A9DAF1"/>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ln>
        <a:effectLst>
          <a:outerShdw blurRad="50800" dist="50800" dir="5400000" sx="104000" sy="104000" algn="ctr" rotWithShape="0">
            <a:srgbClr val="000000"/>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PH" sz="1100"/>
        </a:p>
      </xdr:txBody>
    </xdr:sp>
    <xdr:clientData/>
  </xdr:twoCellAnchor>
  <xdr:twoCellAnchor>
    <xdr:from>
      <xdr:col>25</xdr:col>
      <xdr:colOff>594991</xdr:colOff>
      <xdr:row>72</xdr:row>
      <xdr:rowOff>50700</xdr:rowOff>
    </xdr:from>
    <xdr:to>
      <xdr:col>40</xdr:col>
      <xdr:colOff>167640</xdr:colOff>
      <xdr:row>93</xdr:row>
      <xdr:rowOff>76200</xdr:rowOff>
    </xdr:to>
    <xdr:sp macro="" textlink="">
      <xdr:nvSpPr>
        <xdr:cNvPr id="26" name="Flowchart: Alternate Process 25">
          <a:extLst>
            <a:ext uri="{FF2B5EF4-FFF2-40B4-BE49-F238E27FC236}">
              <a16:creationId xmlns:a16="http://schemas.microsoft.com/office/drawing/2014/main" id="{3CF490CC-251A-CBD0-0D1E-D93BAD1ABA1C}"/>
            </a:ext>
          </a:extLst>
        </xdr:cNvPr>
        <xdr:cNvSpPr/>
      </xdr:nvSpPr>
      <xdr:spPr>
        <a:xfrm>
          <a:off x="594991" y="11785500"/>
          <a:ext cx="8716649" cy="3865980"/>
        </a:xfrm>
        <a:prstGeom prst="flowChartAlternateProcess">
          <a:avLst/>
        </a:prstGeom>
        <a:noFill/>
        <a:ln>
          <a:gradFill flip="none" rotWithShape="1">
            <a:gsLst>
              <a:gs pos="42624">
                <a:srgbClr val="A9DAF1"/>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ln>
        <a:effectLst>
          <a:outerShdw blurRad="50800" dist="50800" dir="5400000" sx="104000" sy="104000" algn="ctr" rotWithShape="0">
            <a:srgbClr val="000000"/>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PH" sz="1100"/>
        </a:p>
      </xdr:txBody>
    </xdr:sp>
    <xdr:clientData/>
  </xdr:twoCellAnchor>
  <xdr:twoCellAnchor>
    <xdr:from>
      <xdr:col>41</xdr:col>
      <xdr:colOff>304801</xdr:colOff>
      <xdr:row>71</xdr:row>
      <xdr:rowOff>149574</xdr:rowOff>
    </xdr:from>
    <xdr:to>
      <xdr:col>55</xdr:col>
      <xdr:colOff>396240</xdr:colOff>
      <xdr:row>93</xdr:row>
      <xdr:rowOff>137160</xdr:rowOff>
    </xdr:to>
    <xdr:sp macro="" textlink="">
      <xdr:nvSpPr>
        <xdr:cNvPr id="27" name="Flowchart: Alternate Process 26">
          <a:extLst>
            <a:ext uri="{FF2B5EF4-FFF2-40B4-BE49-F238E27FC236}">
              <a16:creationId xmlns:a16="http://schemas.microsoft.com/office/drawing/2014/main" id="{162CC7A9-65E9-2938-CA76-C1561665EE50}"/>
            </a:ext>
          </a:extLst>
        </xdr:cNvPr>
        <xdr:cNvSpPr/>
      </xdr:nvSpPr>
      <xdr:spPr>
        <a:xfrm>
          <a:off x="10058401" y="11701494"/>
          <a:ext cx="8625839" cy="4010946"/>
        </a:xfrm>
        <a:prstGeom prst="flowChartAlternateProcess">
          <a:avLst/>
        </a:prstGeom>
        <a:noFill/>
        <a:ln>
          <a:gradFill flip="none" rotWithShape="1">
            <a:gsLst>
              <a:gs pos="42624">
                <a:srgbClr val="A9DAF1"/>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ln>
        <a:effectLst>
          <a:outerShdw blurRad="50800" dist="50800" dir="5400000" sx="104000" sy="104000" algn="ctr" rotWithShape="0">
            <a:srgbClr val="000000"/>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PH" sz="1100"/>
        </a:p>
      </xdr:txBody>
    </xdr:sp>
    <xdr:clientData/>
  </xdr:twoCellAnchor>
  <xdr:twoCellAnchor>
    <xdr:from>
      <xdr:col>25</xdr:col>
      <xdr:colOff>520701</xdr:colOff>
      <xdr:row>50</xdr:row>
      <xdr:rowOff>58037</xdr:rowOff>
    </xdr:from>
    <xdr:to>
      <xdr:col>39</xdr:col>
      <xdr:colOff>598715</xdr:colOff>
      <xdr:row>69</xdr:row>
      <xdr:rowOff>119743</xdr:rowOff>
    </xdr:to>
    <xdr:graphicFrame macro="">
      <xdr:nvGraphicFramePr>
        <xdr:cNvPr id="28" name="Chart 27">
          <a:extLst>
            <a:ext uri="{FF2B5EF4-FFF2-40B4-BE49-F238E27FC236}">
              <a16:creationId xmlns:a16="http://schemas.microsoft.com/office/drawing/2014/main" id="{9247F003-1852-4EEB-AD4E-A2BAC90BB2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41</xdr:col>
      <xdr:colOff>482795</xdr:colOff>
      <xdr:row>72</xdr:row>
      <xdr:rowOff>139700</xdr:rowOff>
    </xdr:from>
    <xdr:to>
      <xdr:col>55</xdr:col>
      <xdr:colOff>304800</xdr:colOff>
      <xdr:row>92</xdr:row>
      <xdr:rowOff>127000</xdr:rowOff>
    </xdr:to>
    <xdr:graphicFrame macro="">
      <xdr:nvGraphicFramePr>
        <xdr:cNvPr id="29" name="Chart 28">
          <a:extLst>
            <a:ext uri="{FF2B5EF4-FFF2-40B4-BE49-F238E27FC236}">
              <a16:creationId xmlns:a16="http://schemas.microsoft.com/office/drawing/2014/main" id="{A6F20B26-39D2-43F9-9BCB-F78BF2D7E4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106875</xdr:colOff>
      <xdr:row>73</xdr:row>
      <xdr:rowOff>38100</xdr:rowOff>
    </xdr:from>
    <xdr:to>
      <xdr:col>39</xdr:col>
      <xdr:colOff>584200</xdr:colOff>
      <xdr:row>93</xdr:row>
      <xdr:rowOff>15631</xdr:rowOff>
    </xdr:to>
    <xdr:graphicFrame macro="">
      <xdr:nvGraphicFramePr>
        <xdr:cNvPr id="30" name="Chart 29">
          <a:extLst>
            <a:ext uri="{FF2B5EF4-FFF2-40B4-BE49-F238E27FC236}">
              <a16:creationId xmlns:a16="http://schemas.microsoft.com/office/drawing/2014/main" id="{3AA55399-6953-4209-B799-8974142FC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31</xdr:col>
      <xdr:colOff>564111</xdr:colOff>
      <xdr:row>27</xdr:row>
      <xdr:rowOff>32427</xdr:rowOff>
    </xdr:from>
    <xdr:to>
      <xdr:col>47</xdr:col>
      <xdr:colOff>549719</xdr:colOff>
      <xdr:row>34</xdr:row>
      <xdr:rowOff>150148</xdr:rowOff>
    </xdr:to>
    <mc:AlternateContent xmlns:mc="http://schemas.openxmlformats.org/markup-compatibility/2006">
      <mc:Choice xmlns:a14="http://schemas.microsoft.com/office/drawing/2010/main" Requires="a14">
        <xdr:graphicFrame macro="">
          <xdr:nvGraphicFramePr>
            <xdr:cNvPr id="33" name="Content.Month">
              <a:extLst>
                <a:ext uri="{FF2B5EF4-FFF2-40B4-BE49-F238E27FC236}">
                  <a16:creationId xmlns:a16="http://schemas.microsoft.com/office/drawing/2014/main" id="{A1A9C755-0E1E-6B14-BF2D-589D40251AB9}"/>
                </a:ext>
              </a:extLst>
            </xdr:cNvPr>
            <xdr:cNvGraphicFramePr/>
          </xdr:nvGraphicFramePr>
          <xdr:xfrm>
            <a:off x="0" y="0"/>
            <a:ext cx="0" cy="0"/>
          </xdr:xfrm>
          <a:graphic>
            <a:graphicData uri="http://schemas.microsoft.com/office/drawing/2010/slicer">
              <sle:slicer xmlns:sle="http://schemas.microsoft.com/office/drawing/2010/slicer" name="Content.Month"/>
            </a:graphicData>
          </a:graphic>
        </xdr:graphicFrame>
      </mc:Choice>
      <mc:Fallback>
        <xdr:sp macro="" textlink="">
          <xdr:nvSpPr>
            <xdr:cNvPr id="0" name=""/>
            <xdr:cNvSpPr>
              <a:spLocks noTextEdit="1"/>
            </xdr:cNvSpPr>
          </xdr:nvSpPr>
          <xdr:spPr>
            <a:xfrm>
              <a:off x="19340573" y="4780273"/>
              <a:ext cx="9676684" cy="1348644"/>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35</xdr:col>
      <xdr:colOff>526815</xdr:colOff>
      <xdr:row>35</xdr:row>
      <xdr:rowOff>112889</xdr:rowOff>
    </xdr:from>
    <xdr:ext cx="184731" cy="264560"/>
    <xdr:sp macro="" textlink="">
      <xdr:nvSpPr>
        <xdr:cNvPr id="34" name="TextBox 33">
          <a:extLst>
            <a:ext uri="{FF2B5EF4-FFF2-40B4-BE49-F238E27FC236}">
              <a16:creationId xmlns:a16="http://schemas.microsoft.com/office/drawing/2014/main" id="{245E7A3A-32B6-14A5-B11C-872B246ABC26}"/>
            </a:ext>
          </a:extLst>
        </xdr:cNvPr>
        <xdr:cNvSpPr txBox="1"/>
      </xdr:nvSpPr>
      <xdr:spPr>
        <a:xfrm>
          <a:off x="6641630" y="4760148"/>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oneCellAnchor>
    <xdr:from>
      <xdr:col>31</xdr:col>
      <xdr:colOff>426416</xdr:colOff>
      <xdr:row>37</xdr:row>
      <xdr:rowOff>148300</xdr:rowOff>
    </xdr:from>
    <xdr:ext cx="2539787" cy="655949"/>
    <xdr:sp macro="" textlink="">
      <xdr:nvSpPr>
        <xdr:cNvPr id="35" name="TextBox 34">
          <a:extLst>
            <a:ext uri="{FF2B5EF4-FFF2-40B4-BE49-F238E27FC236}">
              <a16:creationId xmlns:a16="http://schemas.microsoft.com/office/drawing/2014/main" id="{28ABC4CB-FB1B-BFF9-2F05-1CD7D3221B16}"/>
            </a:ext>
          </a:extLst>
        </xdr:cNvPr>
        <xdr:cNvSpPr txBox="1"/>
      </xdr:nvSpPr>
      <xdr:spPr>
        <a:xfrm rot="789696">
          <a:off x="19216643" y="6876414"/>
          <a:ext cx="2539787" cy="655949"/>
        </a:xfrm>
        <a:prstGeom prst="rect">
          <a:avLst/>
        </a:prstGeom>
        <a:solidFill>
          <a:schemeClr val="accent2">
            <a:lumMod val="20000"/>
            <a:lumOff val="80000"/>
          </a:schemeClr>
        </a:solidFill>
        <a:ln w="34925">
          <a:solidFill>
            <a:srgbClr val="FFFFFF"/>
          </a:solidFill>
        </a:ln>
        <a:effectLst>
          <a:outerShdw blurRad="317500" dir="2700000" algn="ctr">
            <a:srgbClr val="000000">
              <a:alpha val="43000"/>
            </a:srgbClr>
          </a:outerShdw>
        </a:effectLst>
        <a:scene3d>
          <a:camera prst="isometricOffAxis2Left"/>
          <a:lightRig rig="threePt" dir="t">
            <a:rot lat="0" lon="0" rev="0"/>
          </a:lightRig>
        </a:scene3d>
        <a:sp3d extrusionH="38100" prstMaterial="clear">
          <a:bevelT w="260350" h="50800" prst="softRound"/>
          <a:bevelB prst="softRound"/>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PH" sz="3600" b="1">
              <a:ln>
                <a:solidFill>
                  <a:schemeClr val="tx1">
                    <a:lumMod val="65000"/>
                    <a:lumOff val="35000"/>
                  </a:schemeClr>
                </a:solidFill>
              </a:ln>
              <a:solidFill>
                <a:schemeClr val="bg2"/>
              </a:solidFill>
            </a:rPr>
            <a:t>Stock</a:t>
          </a:r>
          <a:r>
            <a:rPr lang="en-PH" sz="3600" b="1" baseline="0">
              <a:ln>
                <a:solidFill>
                  <a:schemeClr val="tx1">
                    <a:lumMod val="65000"/>
                    <a:lumOff val="35000"/>
                  </a:schemeClr>
                </a:solidFill>
              </a:ln>
              <a:solidFill>
                <a:schemeClr val="bg2"/>
              </a:solidFill>
            </a:rPr>
            <a:t>- in</a:t>
          </a:r>
          <a:endParaRPr lang="en-PH" sz="3600" b="1">
            <a:ln>
              <a:solidFill>
                <a:schemeClr val="tx1">
                  <a:lumMod val="65000"/>
                  <a:lumOff val="35000"/>
                </a:schemeClr>
              </a:solidFill>
            </a:ln>
            <a:solidFill>
              <a:schemeClr val="bg2"/>
            </a:solidFill>
          </a:endParaRPr>
        </a:p>
      </xdr:txBody>
    </xdr:sp>
    <xdr:clientData/>
  </xdr:oneCellAnchor>
  <xdr:oneCellAnchor>
    <xdr:from>
      <xdr:col>36</xdr:col>
      <xdr:colOff>93600</xdr:colOff>
      <xdr:row>33</xdr:row>
      <xdr:rowOff>14984</xdr:rowOff>
    </xdr:from>
    <xdr:ext cx="1448401" cy="468013"/>
    <xdr:sp macro="" textlink="">
      <xdr:nvSpPr>
        <xdr:cNvPr id="36" name="TextBox 35">
          <a:extLst>
            <a:ext uri="{FF2B5EF4-FFF2-40B4-BE49-F238E27FC236}">
              <a16:creationId xmlns:a16="http://schemas.microsoft.com/office/drawing/2014/main" id="{B31CF27A-BB33-C9E8-9A9B-467A48BADC50}"/>
            </a:ext>
          </a:extLst>
        </xdr:cNvPr>
        <xdr:cNvSpPr txBox="1"/>
      </xdr:nvSpPr>
      <xdr:spPr>
        <a:xfrm rot="1199183">
          <a:off x="6811526" y="4452513"/>
          <a:ext cx="1448401" cy="46801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pPr algn="ctr"/>
          <a:endParaRPr lang="en-PH" sz="2400"/>
        </a:p>
      </xdr:txBody>
    </xdr:sp>
    <xdr:clientData/>
  </xdr:oneCellAnchor>
  <xdr:oneCellAnchor>
    <xdr:from>
      <xdr:col>50</xdr:col>
      <xdr:colOff>288793</xdr:colOff>
      <xdr:row>37</xdr:row>
      <xdr:rowOff>40872</xdr:rowOff>
    </xdr:from>
    <xdr:ext cx="1448401" cy="468013"/>
    <xdr:sp macro="" textlink="">
      <xdr:nvSpPr>
        <xdr:cNvPr id="37" name="TextBox 36">
          <a:extLst>
            <a:ext uri="{FF2B5EF4-FFF2-40B4-BE49-F238E27FC236}">
              <a16:creationId xmlns:a16="http://schemas.microsoft.com/office/drawing/2014/main" id="{A6AC2206-D06B-3E66-E83A-8138A5591C46}"/>
            </a:ext>
          </a:extLst>
        </xdr:cNvPr>
        <xdr:cNvSpPr txBox="1"/>
      </xdr:nvSpPr>
      <xdr:spPr>
        <a:xfrm rot="789696">
          <a:off x="15611619" y="5142959"/>
          <a:ext cx="1448401" cy="46801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spAutoFit/>
        </a:bodyPr>
        <a:lstStyle/>
        <a:p>
          <a:pPr algn="ctr"/>
          <a:endParaRPr lang="en-PH" sz="2400"/>
        </a:p>
      </xdr:txBody>
    </xdr:sp>
    <xdr:clientData/>
  </xdr:oneCellAnchor>
  <xdr:oneCellAnchor>
    <xdr:from>
      <xdr:col>39</xdr:col>
      <xdr:colOff>114756</xdr:colOff>
      <xdr:row>37</xdr:row>
      <xdr:rowOff>114658</xdr:rowOff>
    </xdr:from>
    <xdr:ext cx="2168563" cy="655949"/>
    <xdr:sp macro="" textlink="">
      <xdr:nvSpPr>
        <xdr:cNvPr id="3" name="TextBox 2">
          <a:extLst>
            <a:ext uri="{FF2B5EF4-FFF2-40B4-BE49-F238E27FC236}">
              <a16:creationId xmlns:a16="http://schemas.microsoft.com/office/drawing/2014/main" id="{36187802-B46E-4BEA-A185-671499441F95}"/>
            </a:ext>
          </a:extLst>
        </xdr:cNvPr>
        <xdr:cNvSpPr txBox="1"/>
      </xdr:nvSpPr>
      <xdr:spPr>
        <a:xfrm rot="789696">
          <a:off x="23962534" y="6728065"/>
          <a:ext cx="2168563" cy="655949"/>
        </a:xfrm>
        <a:prstGeom prst="rect">
          <a:avLst/>
        </a:prstGeom>
        <a:solidFill>
          <a:schemeClr val="accent2">
            <a:lumMod val="20000"/>
            <a:lumOff val="80000"/>
          </a:schemeClr>
        </a:solidFill>
        <a:ln w="34925">
          <a:solidFill>
            <a:srgbClr val="FFFFFF"/>
          </a:solidFill>
        </a:ln>
        <a:effectLst>
          <a:outerShdw blurRad="317500" dir="2700000" algn="ctr">
            <a:srgbClr val="000000">
              <a:alpha val="43000"/>
            </a:srgbClr>
          </a:outerShdw>
        </a:effectLst>
        <a:scene3d>
          <a:camera prst="isometricOffAxis2Left"/>
          <a:lightRig rig="threePt" dir="t">
            <a:rot lat="0" lon="0" rev="0"/>
          </a:lightRig>
        </a:scene3d>
        <a:sp3d extrusionH="38100" prstMaterial="clear">
          <a:bevelT w="260350" h="50800" prst="softRound"/>
          <a:bevelB prst="softRound"/>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PH" sz="3600" b="1">
              <a:ln>
                <a:solidFill>
                  <a:schemeClr val="tx1">
                    <a:lumMod val="65000"/>
                    <a:lumOff val="35000"/>
                  </a:schemeClr>
                </a:solidFill>
              </a:ln>
              <a:solidFill>
                <a:schemeClr val="bg2"/>
              </a:solidFill>
            </a:rPr>
            <a:t>Stock-out</a:t>
          </a:r>
        </a:p>
      </xdr:txBody>
    </xdr:sp>
    <xdr:clientData/>
  </xdr:oneCellAnchor>
  <xdr:oneCellAnchor>
    <xdr:from>
      <xdr:col>46</xdr:col>
      <xdr:colOff>138125</xdr:colOff>
      <xdr:row>37</xdr:row>
      <xdr:rowOff>139947</xdr:rowOff>
    </xdr:from>
    <xdr:ext cx="3171178" cy="787137"/>
    <xdr:sp macro="" textlink="">
      <xdr:nvSpPr>
        <xdr:cNvPr id="4" name="TextBox 3">
          <a:extLst>
            <a:ext uri="{FF2B5EF4-FFF2-40B4-BE49-F238E27FC236}">
              <a16:creationId xmlns:a16="http://schemas.microsoft.com/office/drawing/2014/main" id="{76F2CD9F-C095-4013-A36A-FE0896A0AAB1}"/>
            </a:ext>
          </a:extLst>
        </xdr:cNvPr>
        <xdr:cNvSpPr txBox="1"/>
      </xdr:nvSpPr>
      <xdr:spPr>
        <a:xfrm rot="789696">
          <a:off x="28275105" y="6852804"/>
          <a:ext cx="3171178" cy="787137"/>
        </a:xfrm>
        <a:prstGeom prst="rect">
          <a:avLst/>
        </a:prstGeom>
        <a:solidFill>
          <a:schemeClr val="accent2">
            <a:lumMod val="20000"/>
            <a:lumOff val="80000"/>
          </a:schemeClr>
        </a:solidFill>
        <a:ln w="34925">
          <a:solidFill>
            <a:srgbClr val="FFFFFF"/>
          </a:solidFill>
        </a:ln>
        <a:effectLst>
          <a:outerShdw blurRad="317500" dir="2700000" algn="ctr">
            <a:srgbClr val="000000">
              <a:alpha val="43000"/>
            </a:srgbClr>
          </a:outerShdw>
        </a:effectLst>
        <a:scene3d>
          <a:camera prst="isometricOffAxis2Left"/>
          <a:lightRig rig="threePt" dir="t">
            <a:rot lat="0" lon="0" rev="0"/>
          </a:lightRig>
        </a:scene3d>
        <a:sp3d extrusionH="38100" prstMaterial="clear">
          <a:bevelT w="260350" h="50800" prst="softRound"/>
          <a:bevelB prst="softRound"/>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r>
            <a:rPr lang="en-PH" sz="3200" b="1">
              <a:ln>
                <a:solidFill>
                  <a:schemeClr val="tx1">
                    <a:lumMod val="65000"/>
                    <a:lumOff val="35000"/>
                  </a:schemeClr>
                </a:solidFill>
              </a:ln>
              <a:solidFill>
                <a:schemeClr val="bg2"/>
              </a:solidFill>
              <a:effectLst/>
              <a:latin typeface="+mn-lt"/>
              <a:ea typeface="+mn-ea"/>
              <a:cs typeface="+mn-cs"/>
            </a:rPr>
            <a:t>Balance-in-Stock</a:t>
          </a:r>
          <a:endParaRPr lang="en-PH" sz="3200" b="1">
            <a:ln>
              <a:solidFill>
                <a:schemeClr val="tx1">
                  <a:lumMod val="65000"/>
                  <a:lumOff val="35000"/>
                </a:schemeClr>
              </a:solidFill>
            </a:ln>
            <a:solidFill>
              <a:schemeClr val="bg2"/>
            </a:solidFill>
            <a:effectLst/>
          </a:endParaRPr>
        </a:p>
      </xdr:txBody>
    </xdr:sp>
    <xdr:clientData/>
  </xdr:oneCellAnchor>
  <xdr:twoCellAnchor>
    <xdr:from>
      <xdr:col>31</xdr:col>
      <xdr:colOff>586153</xdr:colOff>
      <xdr:row>23</xdr:row>
      <xdr:rowOff>78153</xdr:rowOff>
    </xdr:from>
    <xdr:to>
      <xdr:col>47</xdr:col>
      <xdr:colOff>586154</xdr:colOff>
      <xdr:row>26</xdr:row>
      <xdr:rowOff>78154</xdr:rowOff>
    </xdr:to>
    <xdr:sp macro="" textlink="">
      <xdr:nvSpPr>
        <xdr:cNvPr id="6" name="Rectangle: Rounded Corners 5">
          <a:extLst>
            <a:ext uri="{FF2B5EF4-FFF2-40B4-BE49-F238E27FC236}">
              <a16:creationId xmlns:a16="http://schemas.microsoft.com/office/drawing/2014/main" id="{599F33B2-163E-2934-DD87-CBC536751ED7}"/>
            </a:ext>
          </a:extLst>
        </xdr:cNvPr>
        <xdr:cNvSpPr/>
      </xdr:nvSpPr>
      <xdr:spPr>
        <a:xfrm>
          <a:off x="19483753" y="4284393"/>
          <a:ext cx="9753601" cy="548641"/>
        </a:xfrm>
        <a:prstGeom prst="roundRect">
          <a:avLst/>
        </a:prstGeom>
        <a:ln>
          <a:headEnd type="none" w="med" len="med"/>
          <a:tailEnd type="none" w="med" len="med"/>
        </a:ln>
      </xdr:spPr>
      <xdr:style>
        <a:lnRef idx="1">
          <a:schemeClr val="accent2"/>
        </a:lnRef>
        <a:fillRef idx="2">
          <a:schemeClr val="accent2"/>
        </a:fillRef>
        <a:effectRef idx="1">
          <a:schemeClr val="accent2"/>
        </a:effectRef>
        <a:fontRef idx="minor">
          <a:schemeClr val="dk1"/>
        </a:fontRef>
      </xdr:style>
      <xdr:txBody>
        <a:bodyPr vertOverflow="clip" horzOverflow="clip" rtlCol="0" anchor="ctr"/>
        <a:lstStyle/>
        <a:p>
          <a:pPr algn="ctr"/>
          <a:r>
            <a:rPr lang="en-PH" sz="4000">
              <a:solidFill>
                <a:schemeClr val="bg2"/>
              </a:solidFill>
            </a:rPr>
            <a:t>INVENTORY</a:t>
          </a:r>
          <a:r>
            <a:rPr lang="en-PH" sz="4000" baseline="0">
              <a:solidFill>
                <a:schemeClr val="bg2"/>
              </a:solidFill>
            </a:rPr>
            <a:t> DASHBOARD</a:t>
          </a:r>
          <a:endParaRPr lang="en-PH" sz="4000">
            <a:solidFill>
              <a:schemeClr val="bg2"/>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fael pineda" refreshedDate="46078.619734375003" backgroundQuery="1" createdVersion="8" refreshedVersion="8" minRefreshableVersion="3" recordCount="210" xr:uid="{5236D6B2-FE5F-48D7-9A6D-DF463950D0C7}">
  <cacheSource type="external" connectionId="1"/>
  <cacheFields count="9">
    <cacheField name="Content.Id" numFmtId="0">
      <sharedItems/>
    </cacheField>
    <cacheField name="Content.Month" numFmtId="0">
      <sharedItems count="7">
        <s v="Jan"/>
        <s v="Feb"/>
        <s v="March"/>
        <s v="April"/>
        <s v="May"/>
        <s v="June"/>
        <s v="Jul"/>
      </sharedItems>
    </cacheField>
    <cacheField name="Content.Product" numFmtId="0">
      <sharedItems count="30">
        <s v="Keyboard"/>
        <s v="Mouse"/>
        <s v="Monitor"/>
        <s v="Laptop"/>
        <s v="Headset"/>
        <s v="Printer"/>
        <s v="Tablet"/>
        <s v="Speaker"/>
        <s v="Router"/>
        <s v="SSD"/>
        <s v="HDD"/>
        <s v="RAM"/>
        <s v="GPU"/>
        <s v="CPU"/>
        <s v="Powerbank"/>
        <s v="HDMI Cable"/>
        <s v="USB Hub"/>
        <s v="Microphone"/>
        <s v="Tripod"/>
        <s v="Smartwatch"/>
        <s v="Phone"/>
        <s v="Camera"/>
        <s v="Flash Drive"/>
        <s v="Extension Cord"/>
        <s v="Cooling Fan"/>
        <s v="Modem"/>
        <s v="VR Headset"/>
        <s v="Webcam"/>
        <s v="Charger"/>
        <s v="Projector"/>
      </sharedItems>
    </cacheField>
    <cacheField name="Content.Bal_in_Stock" numFmtId="0">
      <sharedItems containsSemiMixedTypes="0" containsString="0" containsNumber="1" containsInteger="1" minValue="12" maxValue="200"/>
    </cacheField>
    <cacheField name="Content.Stock_In" numFmtId="0">
      <sharedItems containsSemiMixedTypes="0" containsString="0" containsNumber="1" containsInteger="1" minValue="2" maxValue="80"/>
    </cacheField>
    <cacheField name="Content.Stock_Out" numFmtId="0">
      <sharedItems containsSemiMixedTypes="0" containsString="0" containsNumber="1" containsInteger="1" minValue="1" maxValue="75"/>
    </cacheField>
    <cacheField name="Content.Location" numFmtId="0">
      <sharedItems count="6">
        <s v="Warehouse A"/>
        <s v="Warehouse B"/>
        <s v="Store 1"/>
        <s v="Store 2"/>
        <s v="Warehouse C"/>
        <s v="Store 3"/>
      </sharedItems>
    </cacheField>
    <cacheField name="Content.Unit_Cost" numFmtId="0">
      <sharedItems containsSemiMixedTypes="0" containsString="0" containsNumber="1" containsInteger="1" minValue="6" maxValue="900" count="30">
        <n v="15"/>
        <n v="8"/>
        <n v="120"/>
        <n v="550"/>
        <n v="22"/>
        <n v="35"/>
        <n v="150"/>
        <n v="300"/>
        <n v="45"/>
        <n v="60"/>
        <n v="75"/>
        <n v="65"/>
        <n v="80"/>
        <n v="700"/>
        <n v="320"/>
        <n v="20"/>
        <n v="12"/>
        <n v="6"/>
        <n v="18"/>
        <n v="55"/>
        <n v="25"/>
        <n v="210"/>
        <n v="650"/>
        <n v="900"/>
        <n v="14"/>
        <n v="480"/>
        <n v="10"/>
        <n v="95"/>
        <n v="85"/>
        <n v="400"/>
      </sharedItems>
    </cacheField>
    <cacheField name="Content.Total_Sales" numFmtId="0">
      <sharedItems containsSemiMixedTypes="0" containsString="0" containsNumber="1" containsInteger="1" minValue="143" maxValue="6500"/>
    </cacheField>
  </cacheFields>
  <extLst>
    <ext xmlns:x14="http://schemas.microsoft.com/office/spreadsheetml/2009/9/main" uri="{725AE2AE-9491-48be-B2B4-4EB974FC3084}">
      <x14:pivotCacheDefinition pivotCacheId="871377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0">
  <r>
    <s v="J-1045"/>
    <x v="0"/>
    <x v="0"/>
    <n v="120"/>
    <n v="40"/>
    <n v="35"/>
    <x v="0"/>
    <x v="0"/>
    <n v="525"/>
  </r>
  <r>
    <s v="J-1121"/>
    <x v="0"/>
    <x v="1"/>
    <n v="150"/>
    <n v="60"/>
    <n v="55"/>
    <x v="1"/>
    <x v="1"/>
    <n v="440"/>
  </r>
  <r>
    <s v="J-1121"/>
    <x v="0"/>
    <x v="2"/>
    <n v="80"/>
    <n v="25"/>
    <n v="20"/>
    <x v="2"/>
    <x v="2"/>
    <n v="2400"/>
  </r>
  <r>
    <s v="J-1188"/>
    <x v="0"/>
    <x v="3"/>
    <n v="45"/>
    <n v="15"/>
    <n v="10"/>
    <x v="3"/>
    <x v="3"/>
    <n v="5500"/>
  </r>
  <r>
    <s v="J-1203"/>
    <x v="0"/>
    <x v="4"/>
    <n v="95"/>
    <n v="30"/>
    <n v="25"/>
    <x v="4"/>
    <x v="4"/>
    <n v="550"/>
  </r>
  <r>
    <s v="J-1219"/>
    <x v="0"/>
    <x v="5"/>
    <n v="70"/>
    <n v="20"/>
    <n v="18"/>
    <x v="5"/>
    <x v="5"/>
    <n v="630"/>
  </r>
  <r>
    <s v="J-1250"/>
    <x v="0"/>
    <x v="5"/>
    <n v="40"/>
    <n v="12"/>
    <n v="8"/>
    <x v="0"/>
    <x v="6"/>
    <n v="1200"/>
  </r>
  <r>
    <s v="J-1284"/>
    <x v="0"/>
    <x v="6"/>
    <n v="60"/>
    <n v="18"/>
    <n v="15"/>
    <x v="2"/>
    <x v="7"/>
    <n v="4500"/>
  </r>
  <r>
    <s v="J-1301"/>
    <x v="0"/>
    <x v="7"/>
    <n v="110"/>
    <n v="35"/>
    <n v="30"/>
    <x v="3"/>
    <x v="8"/>
    <n v="1350"/>
  </r>
  <r>
    <s v="J-1333"/>
    <x v="0"/>
    <x v="8"/>
    <n v="85"/>
    <n v="22"/>
    <n v="20"/>
    <x v="1"/>
    <x v="9"/>
    <n v="1200"/>
  </r>
  <r>
    <s v="J-1377"/>
    <x v="0"/>
    <x v="9"/>
    <n v="140"/>
    <n v="50"/>
    <n v="45"/>
    <x v="4"/>
    <x v="10"/>
    <n v="3375"/>
  </r>
  <r>
    <s v="J-1402"/>
    <x v="0"/>
    <x v="10"/>
    <n v="130"/>
    <n v="45"/>
    <n v="40"/>
    <x v="5"/>
    <x v="11"/>
    <n v="2600"/>
  </r>
  <r>
    <s v="J-1466"/>
    <x v="0"/>
    <x v="11"/>
    <n v="100"/>
    <n v="30"/>
    <n v="28"/>
    <x v="2"/>
    <x v="12"/>
    <n v="2240"/>
  </r>
  <r>
    <s v="J-1466"/>
    <x v="0"/>
    <x v="12"/>
    <n v="35"/>
    <n v="10"/>
    <n v="7"/>
    <x v="3"/>
    <x v="13"/>
    <n v="4900"/>
  </r>
  <r>
    <s v="J-1499"/>
    <x v="0"/>
    <x v="13"/>
    <n v="50"/>
    <n v="14"/>
    <n v="12"/>
    <x v="0"/>
    <x v="14"/>
    <n v="3840"/>
  </r>
  <r>
    <s v="J-1520"/>
    <x v="0"/>
    <x v="14"/>
    <n v="160"/>
    <n v="55"/>
    <n v="50"/>
    <x v="1"/>
    <x v="15"/>
    <n v="1000"/>
  </r>
  <r>
    <s v="J-1554"/>
    <x v="0"/>
    <x v="15"/>
    <n v="180"/>
    <n v="70"/>
    <n v="65"/>
    <x v="5"/>
    <x v="16"/>
    <n v="780"/>
  </r>
  <r>
    <s v="J-1588"/>
    <x v="0"/>
    <x v="15"/>
    <n v="200"/>
    <n v="80"/>
    <n v="75"/>
    <x v="2"/>
    <x v="17"/>
    <n v="450"/>
  </r>
  <r>
    <s v="J-1600"/>
    <x v="0"/>
    <x v="16"/>
    <n v="90"/>
    <n v="28"/>
    <n v="25"/>
    <x v="3"/>
    <x v="18"/>
    <n v="450"/>
  </r>
  <r>
    <s v="J-1622"/>
    <x v="0"/>
    <x v="17"/>
    <n v="75"/>
    <n v="20"/>
    <n v="18"/>
    <x v="4"/>
    <x v="19"/>
    <n v="990"/>
  </r>
  <r>
    <s v="J-1655"/>
    <x v="0"/>
    <x v="18"/>
    <n v="65"/>
    <n v="18"/>
    <n v="15"/>
    <x v="0"/>
    <x v="20"/>
    <n v="375"/>
  </r>
  <r>
    <s v="J-1688"/>
    <x v="0"/>
    <x v="19"/>
    <n v="55"/>
    <n v="16"/>
    <n v="14"/>
    <x v="5"/>
    <x v="21"/>
    <n v="2940"/>
  </r>
  <r>
    <s v="J-1701"/>
    <x v="0"/>
    <x v="20"/>
    <n v="48"/>
    <n v="12"/>
    <n v="10"/>
    <x v="2"/>
    <x v="22"/>
    <n v="6500"/>
  </r>
  <r>
    <s v="J-1729"/>
    <x v="0"/>
    <x v="21"/>
    <n v="30"/>
    <n v="8"/>
    <n v="6"/>
    <x v="3"/>
    <x v="23"/>
    <n v="5400"/>
  </r>
  <r>
    <s v="J-1753"/>
    <x v="0"/>
    <x v="22"/>
    <n v="170"/>
    <n v="60"/>
    <n v="55"/>
    <x v="1"/>
    <x v="24"/>
    <n v="770"/>
  </r>
  <r>
    <s v="J-1784"/>
    <x v="0"/>
    <x v="23"/>
    <n v="25"/>
    <n v="6"/>
    <n v="5"/>
    <x v="4"/>
    <x v="25"/>
    <n v="2400"/>
  </r>
  <r>
    <s v="J-1833"/>
    <x v="0"/>
    <x v="23"/>
    <n v="190"/>
    <n v="75"/>
    <n v="70"/>
    <x v="5"/>
    <x v="26"/>
    <n v="700"/>
  </r>
  <r>
    <s v="J-1833"/>
    <x v="0"/>
    <x v="24"/>
    <n v="88"/>
    <n v="24"/>
    <n v="20"/>
    <x v="3"/>
    <x v="27"/>
    <n v="1900"/>
  </r>
  <r>
    <s v="J-1866"/>
    <x v="0"/>
    <x v="25"/>
    <n v="77"/>
    <n v="21"/>
    <n v="19"/>
    <x v="0"/>
    <x v="28"/>
    <n v="1615"/>
  </r>
  <r>
    <s v="J-1899"/>
    <x v="0"/>
    <x v="26"/>
    <n v="20"/>
    <n v="5"/>
    <n v="4"/>
    <x v="2"/>
    <x v="29"/>
    <n v="1600"/>
  </r>
  <r>
    <s v="F-2041"/>
    <x v="1"/>
    <x v="0"/>
    <n v="115"/>
    <n v="38"/>
    <n v="32"/>
    <x v="0"/>
    <x v="0"/>
    <n v="480"/>
  </r>
  <r>
    <s v="F-2077"/>
    <x v="1"/>
    <x v="1"/>
    <n v="145"/>
    <n v="58"/>
    <n v="52"/>
    <x v="3"/>
    <x v="1"/>
    <n v="416"/>
  </r>
  <r>
    <s v="F-2102"/>
    <x v="1"/>
    <x v="2"/>
    <n v="78"/>
    <n v="20"/>
    <n v="18"/>
    <x v="5"/>
    <x v="2"/>
    <n v="2160"/>
  </r>
  <r>
    <s v="F-2139"/>
    <x v="1"/>
    <x v="3"/>
    <n v="42"/>
    <n v="12"/>
    <n v="9"/>
    <x v="1"/>
    <x v="3"/>
    <n v="4950"/>
  </r>
  <r>
    <s v="F-2166"/>
    <x v="1"/>
    <x v="4"/>
    <n v="90"/>
    <n v="25"/>
    <n v="20"/>
    <x v="2"/>
    <x v="4"/>
    <n v="440"/>
  </r>
  <r>
    <s v="F-2214"/>
    <x v="1"/>
    <x v="27"/>
    <n v="68"/>
    <n v="18"/>
    <n v="16"/>
    <x v="4"/>
    <x v="5"/>
    <n v="560"/>
  </r>
  <r>
    <s v="F-2214"/>
    <x v="1"/>
    <x v="5"/>
    <n v="38"/>
    <n v="10"/>
    <n v="7"/>
    <x v="3"/>
    <x v="6"/>
    <n v="1050"/>
  </r>
  <r>
    <s v="F-2248"/>
    <x v="1"/>
    <x v="6"/>
    <n v="58"/>
    <n v="15"/>
    <n v="13"/>
    <x v="5"/>
    <x v="7"/>
    <n v="3900"/>
  </r>
  <r>
    <s v="F-2275"/>
    <x v="1"/>
    <x v="7"/>
    <n v="108"/>
    <n v="32"/>
    <n v="28"/>
    <x v="0"/>
    <x v="8"/>
    <n v="1260"/>
  </r>
  <r>
    <s v="F-2299"/>
    <x v="1"/>
    <x v="9"/>
    <n v="82"/>
    <n v="20"/>
    <n v="18"/>
    <x v="1"/>
    <x v="9"/>
    <n v="1080"/>
  </r>
  <r>
    <s v="F-2321"/>
    <x v="1"/>
    <x v="9"/>
    <n v="138"/>
    <n v="48"/>
    <n v="42"/>
    <x v="2"/>
    <x v="10"/>
    <n v="3150"/>
  </r>
  <r>
    <s v="F-2355"/>
    <x v="1"/>
    <x v="10"/>
    <n v="125"/>
    <n v="40"/>
    <n v="35"/>
    <x v="3"/>
    <x v="11"/>
    <n v="2275"/>
  </r>
  <r>
    <s v="F-2388"/>
    <x v="1"/>
    <x v="11"/>
    <n v="96"/>
    <n v="28"/>
    <n v="24"/>
    <x v="4"/>
    <x v="12"/>
    <n v="1920"/>
  </r>
  <r>
    <s v="F-2403"/>
    <x v="1"/>
    <x v="12"/>
    <n v="32"/>
    <n v="9"/>
    <n v="6"/>
    <x v="5"/>
    <x v="13"/>
    <n v="4200"/>
  </r>
  <r>
    <s v="F-2436"/>
    <x v="1"/>
    <x v="13"/>
    <n v="48"/>
    <n v="13"/>
    <n v="11"/>
    <x v="2"/>
    <x v="14"/>
    <n v="3520"/>
  </r>
  <r>
    <s v="F-2492"/>
    <x v="1"/>
    <x v="14"/>
    <n v="155"/>
    <n v="50"/>
    <n v="46"/>
    <x v="0"/>
    <x v="15"/>
    <n v="920"/>
  </r>
  <r>
    <s v="F-2492"/>
    <x v="1"/>
    <x v="28"/>
    <n v="175"/>
    <n v="65"/>
    <n v="60"/>
    <x v="1"/>
    <x v="16"/>
    <n v="720"/>
  </r>
  <r>
    <s v="F-2525"/>
    <x v="1"/>
    <x v="15"/>
    <n v="198"/>
    <n v="75"/>
    <n v="70"/>
    <x v="3"/>
    <x v="17"/>
    <n v="420"/>
  </r>
  <r>
    <s v="F-2558"/>
    <x v="1"/>
    <x v="16"/>
    <n v="88"/>
    <n v="25"/>
    <n v="22"/>
    <x v="5"/>
    <x v="18"/>
    <n v="396"/>
  </r>
  <r>
    <s v="F-2581"/>
    <x v="1"/>
    <x v="17"/>
    <n v="73"/>
    <n v="18"/>
    <n v="15"/>
    <x v="4"/>
    <x v="19"/>
    <n v="825"/>
  </r>
  <r>
    <s v="F-2604"/>
    <x v="1"/>
    <x v="18"/>
    <n v="62"/>
    <n v="15"/>
    <n v="12"/>
    <x v="0"/>
    <x v="20"/>
    <n v="300"/>
  </r>
  <r>
    <s v="F-2637"/>
    <x v="1"/>
    <x v="19"/>
    <n v="52"/>
    <n v="14"/>
    <n v="12"/>
    <x v="2"/>
    <x v="21"/>
    <n v="2520"/>
  </r>
  <r>
    <s v="F-2660"/>
    <x v="1"/>
    <x v="20"/>
    <n v="45"/>
    <n v="10"/>
    <n v="8"/>
    <x v="3"/>
    <x v="22"/>
    <n v="5200"/>
  </r>
  <r>
    <s v="F-2693"/>
    <x v="1"/>
    <x v="22"/>
    <n v="28"/>
    <n v="7"/>
    <n v="5"/>
    <x v="5"/>
    <x v="23"/>
    <n v="4500"/>
  </r>
  <r>
    <s v="F-2726"/>
    <x v="1"/>
    <x v="22"/>
    <n v="165"/>
    <n v="55"/>
    <n v="50"/>
    <x v="1"/>
    <x v="24"/>
    <n v="700"/>
  </r>
  <r>
    <s v="F-2759"/>
    <x v="1"/>
    <x v="29"/>
    <n v="22"/>
    <n v="5"/>
    <n v="4"/>
    <x v="4"/>
    <x v="25"/>
    <n v="1920"/>
  </r>
  <r>
    <s v="F-2782"/>
    <x v="1"/>
    <x v="23"/>
    <n v="185"/>
    <n v="70"/>
    <n v="65"/>
    <x v="2"/>
    <x v="26"/>
    <n v="650"/>
  </r>
  <r>
    <s v="F-2815"/>
    <x v="1"/>
    <x v="24"/>
    <n v="85"/>
    <n v="22"/>
    <n v="19"/>
    <x v="3"/>
    <x v="27"/>
    <n v="1805"/>
  </r>
  <r>
    <s v="F-2871"/>
    <x v="1"/>
    <x v="25"/>
    <n v="75"/>
    <n v="19"/>
    <n v="17"/>
    <x v="0"/>
    <x v="28"/>
    <n v="1445"/>
  </r>
  <r>
    <s v="F-2871"/>
    <x v="1"/>
    <x v="26"/>
    <n v="18"/>
    <n v="4"/>
    <n v="3"/>
    <x v="5"/>
    <x v="29"/>
    <n v="1200"/>
  </r>
  <r>
    <s v="M-3011"/>
    <x v="2"/>
    <x v="0"/>
    <n v="118"/>
    <n v="35"/>
    <n v="30"/>
    <x v="2"/>
    <x v="0"/>
    <n v="450"/>
  </r>
  <r>
    <s v="M-3034"/>
    <x v="2"/>
    <x v="1"/>
    <n v="148"/>
    <n v="55"/>
    <n v="50"/>
    <x v="3"/>
    <x v="1"/>
    <n v="400"/>
  </r>
  <r>
    <s v="M-3067"/>
    <x v="2"/>
    <x v="2"/>
    <n v="75"/>
    <n v="22"/>
    <n v="19"/>
    <x v="0"/>
    <x v="2"/>
    <n v="2280"/>
  </r>
  <r>
    <s v="M-3123"/>
    <x v="2"/>
    <x v="3"/>
    <n v="40"/>
    <n v="11"/>
    <n v="8"/>
    <x v="1"/>
    <x v="3"/>
    <n v="4400"/>
  </r>
  <r>
    <s v="M-3123"/>
    <x v="2"/>
    <x v="4"/>
    <n v="92"/>
    <n v="26"/>
    <n v="21"/>
    <x v="5"/>
    <x v="4"/>
    <n v="462"/>
  </r>
  <r>
    <s v="M-3156"/>
    <x v="2"/>
    <x v="27"/>
    <n v="66"/>
    <n v="16"/>
    <n v="14"/>
    <x v="2"/>
    <x v="5"/>
    <n v="490"/>
  </r>
  <r>
    <s v="M-3189"/>
    <x v="2"/>
    <x v="5"/>
    <n v="36"/>
    <n v="9"/>
    <n v="6"/>
    <x v="3"/>
    <x v="6"/>
    <n v="900"/>
  </r>
  <r>
    <s v="M-3212"/>
    <x v="2"/>
    <x v="6"/>
    <n v="55"/>
    <n v="14"/>
    <n v="12"/>
    <x v="4"/>
    <x v="7"/>
    <n v="3600"/>
  </r>
  <r>
    <s v="M-3245"/>
    <x v="2"/>
    <x v="7"/>
    <n v="105"/>
    <n v="30"/>
    <n v="26"/>
    <x v="0"/>
    <x v="8"/>
    <n v="1170"/>
  </r>
  <r>
    <s v="M-3278"/>
    <x v="2"/>
    <x v="8"/>
    <n v="80"/>
    <n v="18"/>
    <n v="16"/>
    <x v="5"/>
    <x v="9"/>
    <n v="960"/>
  </r>
  <r>
    <s v="M-3301"/>
    <x v="2"/>
    <x v="9"/>
    <n v="135"/>
    <n v="45"/>
    <n v="40"/>
    <x v="3"/>
    <x v="10"/>
    <n v="3000"/>
  </r>
  <r>
    <s v="M-3334"/>
    <x v="2"/>
    <x v="10"/>
    <n v="122"/>
    <n v="38"/>
    <n v="33"/>
    <x v="2"/>
    <x v="11"/>
    <n v="2145"/>
  </r>
  <r>
    <s v="M-3367"/>
    <x v="2"/>
    <x v="11"/>
    <n v="94"/>
    <n v="26"/>
    <n v="22"/>
    <x v="1"/>
    <x v="12"/>
    <n v="1760"/>
  </r>
  <r>
    <s v="M-3390"/>
    <x v="2"/>
    <x v="12"/>
    <n v="30"/>
    <n v="8"/>
    <n v="5"/>
    <x v="3"/>
    <x v="13"/>
    <n v="3500"/>
  </r>
  <r>
    <s v="M-3423"/>
    <x v="2"/>
    <x v="13"/>
    <n v="46"/>
    <n v="12"/>
    <n v="10"/>
    <x v="5"/>
    <x v="14"/>
    <n v="3200"/>
  </r>
  <r>
    <s v="M-3456"/>
    <x v="2"/>
    <x v="14"/>
    <n v="150"/>
    <n v="48"/>
    <n v="43"/>
    <x v="4"/>
    <x v="15"/>
    <n v="860"/>
  </r>
  <r>
    <s v="M-3489"/>
    <x v="2"/>
    <x v="28"/>
    <n v="170"/>
    <n v="60"/>
    <n v="55"/>
    <x v="0"/>
    <x v="16"/>
    <n v="660"/>
  </r>
  <r>
    <s v="M-3512"/>
    <x v="2"/>
    <x v="15"/>
    <n v="195"/>
    <n v="70"/>
    <n v="65"/>
    <x v="2"/>
    <x v="17"/>
    <n v="390"/>
  </r>
  <r>
    <s v="M-3545"/>
    <x v="2"/>
    <x v="16"/>
    <n v="85"/>
    <n v="24"/>
    <n v="20"/>
    <x v="3"/>
    <x v="18"/>
    <n v="360"/>
  </r>
  <r>
    <s v="M-3578"/>
    <x v="2"/>
    <x v="17"/>
    <n v="70"/>
    <n v="17"/>
    <n v="14"/>
    <x v="5"/>
    <x v="19"/>
    <n v="770"/>
  </r>
  <r>
    <s v="M-3601"/>
    <x v="2"/>
    <x v="18"/>
    <n v="60"/>
    <n v="14"/>
    <n v="11"/>
    <x v="1"/>
    <x v="20"/>
    <n v="275"/>
  </r>
  <r>
    <s v="M-3634"/>
    <x v="2"/>
    <x v="19"/>
    <n v="50"/>
    <n v="13"/>
    <n v="11"/>
    <x v="2"/>
    <x v="21"/>
    <n v="2310"/>
  </r>
  <r>
    <s v="M-3667"/>
    <x v="2"/>
    <x v="20"/>
    <n v="43"/>
    <n v="9"/>
    <n v="7"/>
    <x v="4"/>
    <x v="22"/>
    <n v="4550"/>
  </r>
  <r>
    <s v="M-3690"/>
    <x v="2"/>
    <x v="21"/>
    <n v="26"/>
    <n v="6"/>
    <n v="4"/>
    <x v="3"/>
    <x v="23"/>
    <n v="3600"/>
  </r>
  <r>
    <s v="M-3723"/>
    <x v="2"/>
    <x v="22"/>
    <n v="160"/>
    <n v="52"/>
    <n v="47"/>
    <x v="5"/>
    <x v="24"/>
    <n v="658"/>
  </r>
  <r>
    <s v="M-3756"/>
    <x v="2"/>
    <x v="23"/>
    <n v="20"/>
    <n v="4"/>
    <n v="3"/>
    <x v="0"/>
    <x v="25"/>
    <n v="1440"/>
  </r>
  <r>
    <s v="M-3789"/>
    <x v="2"/>
    <x v="23"/>
    <n v="180"/>
    <n v="65"/>
    <n v="60"/>
    <x v="2"/>
    <x v="26"/>
    <n v="600"/>
  </r>
  <r>
    <s v="M-3812"/>
    <x v="2"/>
    <x v="24"/>
    <n v="82"/>
    <n v="20"/>
    <n v="17"/>
    <x v="3"/>
    <x v="27"/>
    <n v="1615"/>
  </r>
  <r>
    <s v="M-3845"/>
    <x v="2"/>
    <x v="25"/>
    <n v="72"/>
    <n v="18"/>
    <n v="15"/>
    <x v="1"/>
    <x v="28"/>
    <n v="1275"/>
  </r>
  <r>
    <s v="M-3878"/>
    <x v="2"/>
    <x v="26"/>
    <n v="16"/>
    <n v="3"/>
    <n v="2"/>
    <x v="5"/>
    <x v="29"/>
    <n v="800"/>
  </r>
  <r>
    <s v="A-4012"/>
    <x v="3"/>
    <x v="0"/>
    <n v="116"/>
    <n v="34"/>
    <n v="29"/>
    <x v="0"/>
    <x v="0"/>
    <n v="435"/>
  </r>
  <r>
    <s v="A-4045"/>
    <x v="3"/>
    <x v="1"/>
    <n v="146"/>
    <n v="54"/>
    <n v="48"/>
    <x v="2"/>
    <x v="1"/>
    <n v="384"/>
  </r>
  <r>
    <s v="A-4078"/>
    <x v="3"/>
    <x v="2"/>
    <n v="73"/>
    <n v="20"/>
    <n v="17"/>
    <x v="3"/>
    <x v="2"/>
    <n v="2040"/>
  </r>
  <r>
    <s v="A-4101"/>
    <x v="3"/>
    <x v="4"/>
    <n v="38"/>
    <n v="10"/>
    <n v="7"/>
    <x v="5"/>
    <x v="3"/>
    <n v="3850"/>
  </r>
  <r>
    <s v="A-4134"/>
    <x v="3"/>
    <x v="4"/>
    <n v="90"/>
    <n v="24"/>
    <n v="20"/>
    <x v="4"/>
    <x v="4"/>
    <n v="440"/>
  </r>
  <r>
    <s v="A-4167"/>
    <x v="3"/>
    <x v="27"/>
    <n v="64"/>
    <n v="15"/>
    <n v="13"/>
    <x v="1"/>
    <x v="5"/>
    <n v="455"/>
  </r>
  <r>
    <s v="A-4190"/>
    <x v="3"/>
    <x v="5"/>
    <n v="34"/>
    <n v="8"/>
    <n v="6"/>
    <x v="2"/>
    <x v="6"/>
    <n v="900"/>
  </r>
  <r>
    <s v="A-4223"/>
    <x v="3"/>
    <x v="6"/>
    <n v="53"/>
    <n v="13"/>
    <n v="11"/>
    <x v="3"/>
    <x v="7"/>
    <n v="3300"/>
  </r>
  <r>
    <s v="A-4256"/>
    <x v="3"/>
    <x v="7"/>
    <n v="102"/>
    <n v="28"/>
    <n v="24"/>
    <x v="5"/>
    <x v="8"/>
    <n v="1080"/>
  </r>
  <r>
    <s v="A-4289"/>
    <x v="3"/>
    <x v="8"/>
    <n v="78"/>
    <n v="17"/>
    <n v="15"/>
    <x v="0"/>
    <x v="9"/>
    <n v="900"/>
  </r>
  <r>
    <s v="A-4312"/>
    <x v="3"/>
    <x v="10"/>
    <n v="132"/>
    <n v="43"/>
    <n v="38"/>
    <x v="1"/>
    <x v="10"/>
    <n v="2850"/>
  </r>
  <r>
    <s v="A-4345"/>
    <x v="3"/>
    <x v="10"/>
    <n v="120"/>
    <n v="36"/>
    <n v="31"/>
    <x v="2"/>
    <x v="11"/>
    <n v="2015"/>
  </r>
  <r>
    <s v="A-4378"/>
    <x v="3"/>
    <x v="11"/>
    <n v="92"/>
    <n v="25"/>
    <n v="21"/>
    <x v="3"/>
    <x v="12"/>
    <n v="1680"/>
  </r>
  <r>
    <s v="A-4401"/>
    <x v="3"/>
    <x v="12"/>
    <n v="28"/>
    <n v="7"/>
    <n v="5"/>
    <x v="5"/>
    <x v="13"/>
    <n v="3500"/>
  </r>
  <r>
    <s v="A-4467"/>
    <x v="3"/>
    <x v="13"/>
    <n v="44"/>
    <n v="11"/>
    <n v="9"/>
    <x v="4"/>
    <x v="14"/>
    <n v="2880"/>
  </r>
  <r>
    <s v="A-4467"/>
    <x v="3"/>
    <x v="14"/>
    <n v="148"/>
    <n v="46"/>
    <n v="41"/>
    <x v="0"/>
    <x v="15"/>
    <n v="820"/>
  </r>
  <r>
    <s v="A-4490"/>
    <x v="3"/>
    <x v="28"/>
    <n v="168"/>
    <n v="58"/>
    <n v="52"/>
    <x v="2"/>
    <x v="16"/>
    <n v="624"/>
  </r>
  <r>
    <s v="A-4523"/>
    <x v="3"/>
    <x v="15"/>
    <n v="192"/>
    <n v="68"/>
    <n v="62"/>
    <x v="3"/>
    <x v="17"/>
    <n v="372"/>
  </r>
  <r>
    <s v="A-4556"/>
    <x v="3"/>
    <x v="16"/>
    <n v="83"/>
    <n v="22"/>
    <n v="19"/>
    <x v="5"/>
    <x v="18"/>
    <n v="342"/>
  </r>
  <r>
    <s v="A-4612"/>
    <x v="3"/>
    <x v="17"/>
    <n v="68"/>
    <n v="16"/>
    <n v="13"/>
    <x v="1"/>
    <x v="19"/>
    <n v="715"/>
  </r>
  <r>
    <s v="A-4612"/>
    <x v="3"/>
    <x v="18"/>
    <n v="58"/>
    <n v="13"/>
    <n v="10"/>
    <x v="4"/>
    <x v="20"/>
    <n v="250"/>
  </r>
  <r>
    <s v="A-4645"/>
    <x v="3"/>
    <x v="19"/>
    <n v="48"/>
    <n v="12"/>
    <n v="10"/>
    <x v="2"/>
    <x v="21"/>
    <n v="2100"/>
  </r>
  <r>
    <s v="A-4678"/>
    <x v="3"/>
    <x v="20"/>
    <n v="41"/>
    <n v="8"/>
    <n v="6"/>
    <x v="3"/>
    <x v="22"/>
    <n v="3900"/>
  </r>
  <r>
    <s v="A-4701"/>
    <x v="3"/>
    <x v="21"/>
    <n v="24"/>
    <n v="5"/>
    <n v="4"/>
    <x v="5"/>
    <x v="23"/>
    <n v="3600"/>
  </r>
  <r>
    <s v="A-4734"/>
    <x v="3"/>
    <x v="22"/>
    <n v="158"/>
    <n v="50"/>
    <n v="45"/>
    <x v="0"/>
    <x v="24"/>
    <n v="630"/>
  </r>
  <r>
    <s v="A-4767"/>
    <x v="3"/>
    <x v="29"/>
    <n v="18"/>
    <n v="4"/>
    <n v="3"/>
    <x v="1"/>
    <x v="25"/>
    <n v="1440"/>
  </r>
  <r>
    <s v="A-4790"/>
    <x v="3"/>
    <x v="23"/>
    <n v="178"/>
    <n v="63"/>
    <n v="58"/>
    <x v="2"/>
    <x v="26"/>
    <n v="580"/>
  </r>
  <r>
    <s v="A-4823"/>
    <x v="3"/>
    <x v="24"/>
    <n v="80"/>
    <n v="19"/>
    <n v="16"/>
    <x v="3"/>
    <x v="27"/>
    <n v="1520"/>
  </r>
  <r>
    <s v="A-4856"/>
    <x v="3"/>
    <x v="26"/>
    <n v="70"/>
    <n v="17"/>
    <n v="14"/>
    <x v="5"/>
    <x v="28"/>
    <n v="1190"/>
  </r>
  <r>
    <s v="A-4889"/>
    <x v="3"/>
    <x v="26"/>
    <n v="15"/>
    <n v="3"/>
    <n v="2"/>
    <x v="4"/>
    <x v="29"/>
    <n v="800"/>
  </r>
  <r>
    <s v="MY-5011"/>
    <x v="4"/>
    <x v="0"/>
    <n v="114"/>
    <n v="32"/>
    <n v="27"/>
    <x v="2"/>
    <x v="0"/>
    <n v="405"/>
  </r>
  <r>
    <s v="MY-5033"/>
    <x v="4"/>
    <x v="1"/>
    <n v="144"/>
    <n v="52"/>
    <n v="46"/>
    <x v="3"/>
    <x v="1"/>
    <n v="368"/>
  </r>
  <r>
    <s v="MY-5066"/>
    <x v="4"/>
    <x v="2"/>
    <n v="70"/>
    <n v="18"/>
    <n v="15"/>
    <x v="0"/>
    <x v="2"/>
    <n v="1800"/>
  </r>
  <r>
    <s v="MY-5099"/>
    <x v="4"/>
    <x v="3"/>
    <n v="36"/>
    <n v="9"/>
    <n v="6"/>
    <x v="1"/>
    <x v="3"/>
    <n v="3300"/>
  </r>
  <r>
    <s v="MY-5155"/>
    <x v="4"/>
    <x v="4"/>
    <n v="88"/>
    <n v="22"/>
    <n v="18"/>
    <x v="5"/>
    <x v="4"/>
    <n v="396"/>
  </r>
  <r>
    <s v="MY-5155"/>
    <x v="4"/>
    <x v="27"/>
    <n v="62"/>
    <n v="14"/>
    <n v="12"/>
    <x v="2"/>
    <x v="5"/>
    <n v="420"/>
  </r>
  <r>
    <s v="MY-5188"/>
    <x v="4"/>
    <x v="5"/>
    <n v="32"/>
    <n v="7"/>
    <n v="5"/>
    <x v="3"/>
    <x v="6"/>
    <n v="750"/>
  </r>
  <r>
    <s v="MY-5211"/>
    <x v="4"/>
    <x v="6"/>
    <n v="50"/>
    <n v="12"/>
    <n v="10"/>
    <x v="4"/>
    <x v="7"/>
    <n v="3000"/>
  </r>
  <r>
    <s v="MY-5244"/>
    <x v="4"/>
    <x v="7"/>
    <n v="100"/>
    <n v="26"/>
    <n v="22"/>
    <x v="0"/>
    <x v="8"/>
    <n v="990"/>
  </r>
  <r>
    <s v="MY-5277"/>
    <x v="4"/>
    <x v="8"/>
    <n v="76"/>
    <n v="16"/>
    <n v="14"/>
    <x v="5"/>
    <x v="9"/>
    <n v="840"/>
  </r>
  <r>
    <s v="MY-5300"/>
    <x v="4"/>
    <x v="9"/>
    <n v="130"/>
    <n v="40"/>
    <n v="35"/>
    <x v="3"/>
    <x v="10"/>
    <n v="2625"/>
  </r>
  <r>
    <s v="MY-5333"/>
    <x v="4"/>
    <x v="10"/>
    <n v="118"/>
    <n v="34"/>
    <n v="29"/>
    <x v="2"/>
    <x v="11"/>
    <n v="1885"/>
  </r>
  <r>
    <s v="MY-5366"/>
    <x v="4"/>
    <x v="11"/>
    <n v="90"/>
    <n v="24"/>
    <n v="20"/>
    <x v="1"/>
    <x v="12"/>
    <n v="1600"/>
  </r>
  <r>
    <s v="MY-5399"/>
    <x v="4"/>
    <x v="12"/>
    <n v="26"/>
    <n v="6"/>
    <n v="4"/>
    <x v="3"/>
    <x v="13"/>
    <n v="2800"/>
  </r>
  <r>
    <s v="MY-5422"/>
    <x v="4"/>
    <x v="13"/>
    <n v="42"/>
    <n v="10"/>
    <n v="8"/>
    <x v="5"/>
    <x v="14"/>
    <n v="2560"/>
  </r>
  <r>
    <s v="MY-5455"/>
    <x v="4"/>
    <x v="14"/>
    <n v="145"/>
    <n v="44"/>
    <n v="39"/>
    <x v="4"/>
    <x v="15"/>
    <n v="780"/>
  </r>
  <r>
    <s v="MY-5488"/>
    <x v="4"/>
    <x v="28"/>
    <n v="165"/>
    <n v="55"/>
    <n v="50"/>
    <x v="0"/>
    <x v="16"/>
    <n v="600"/>
  </r>
  <r>
    <s v="MY-5511"/>
    <x v="4"/>
    <x v="15"/>
    <n v="190"/>
    <n v="65"/>
    <n v="60"/>
    <x v="2"/>
    <x v="17"/>
    <n v="360"/>
  </r>
  <r>
    <s v="MY-5544"/>
    <x v="4"/>
    <x v="16"/>
    <n v="80"/>
    <n v="20"/>
    <n v="17"/>
    <x v="3"/>
    <x v="18"/>
    <n v="306"/>
  </r>
  <r>
    <s v="MY-5577"/>
    <x v="4"/>
    <x v="17"/>
    <n v="65"/>
    <n v="15"/>
    <n v="12"/>
    <x v="5"/>
    <x v="19"/>
    <n v="660"/>
  </r>
  <r>
    <s v="MY-5600"/>
    <x v="4"/>
    <x v="18"/>
    <n v="56"/>
    <n v="12"/>
    <n v="9"/>
    <x v="1"/>
    <x v="20"/>
    <n v="225"/>
  </r>
  <r>
    <s v="MY-5633"/>
    <x v="4"/>
    <x v="19"/>
    <n v="46"/>
    <n v="11"/>
    <n v="9"/>
    <x v="2"/>
    <x v="21"/>
    <n v="1890"/>
  </r>
  <r>
    <s v="MY-5699"/>
    <x v="4"/>
    <x v="21"/>
    <n v="39"/>
    <n v="7"/>
    <n v="5"/>
    <x v="4"/>
    <x v="22"/>
    <n v="3250"/>
  </r>
  <r>
    <s v="MY-5699"/>
    <x v="4"/>
    <x v="21"/>
    <n v="22"/>
    <n v="4"/>
    <n v="3"/>
    <x v="3"/>
    <x v="23"/>
    <n v="2700"/>
  </r>
  <r>
    <s v="MY-5722"/>
    <x v="4"/>
    <x v="22"/>
    <n v="155"/>
    <n v="48"/>
    <n v="43"/>
    <x v="5"/>
    <x v="24"/>
    <n v="602"/>
  </r>
  <r>
    <s v="MY-5755"/>
    <x v="4"/>
    <x v="29"/>
    <n v="16"/>
    <n v="3"/>
    <n v="2"/>
    <x v="0"/>
    <x v="25"/>
    <n v="960"/>
  </r>
  <r>
    <s v="MY-5788"/>
    <x v="4"/>
    <x v="23"/>
    <n v="175"/>
    <n v="60"/>
    <n v="55"/>
    <x v="2"/>
    <x v="26"/>
    <n v="550"/>
  </r>
  <r>
    <s v="MY-5811"/>
    <x v="4"/>
    <x v="24"/>
    <n v="78"/>
    <n v="18"/>
    <n v="15"/>
    <x v="3"/>
    <x v="27"/>
    <n v="1425"/>
  </r>
  <r>
    <s v="MY-5844"/>
    <x v="4"/>
    <x v="25"/>
    <n v="68"/>
    <n v="16"/>
    <n v="13"/>
    <x v="5"/>
    <x v="28"/>
    <n v="1105"/>
  </r>
  <r>
    <s v="MY-5877"/>
    <x v="4"/>
    <x v="26"/>
    <n v="14"/>
    <n v="2"/>
    <n v="1"/>
    <x v="4"/>
    <x v="29"/>
    <n v="400"/>
  </r>
  <r>
    <s v="JN-6012"/>
    <x v="5"/>
    <x v="0"/>
    <n v="112"/>
    <n v="30"/>
    <n v="25"/>
    <x v="0"/>
    <x v="0"/>
    <n v="375"/>
  </r>
  <r>
    <s v="JN-6045"/>
    <x v="5"/>
    <x v="1"/>
    <n v="142"/>
    <n v="50"/>
    <n v="44"/>
    <x v="2"/>
    <x v="1"/>
    <n v="352"/>
  </r>
  <r>
    <s v="JN-6101"/>
    <x v="5"/>
    <x v="2"/>
    <n v="68"/>
    <n v="17"/>
    <n v="14"/>
    <x v="3"/>
    <x v="2"/>
    <n v="1680"/>
  </r>
  <r>
    <s v="JN-6101"/>
    <x v="5"/>
    <x v="3"/>
    <n v="34"/>
    <n v="8"/>
    <n v="5"/>
    <x v="5"/>
    <x v="3"/>
    <n v="2750"/>
  </r>
  <r>
    <s v="JN-6134"/>
    <x v="5"/>
    <x v="27"/>
    <n v="86"/>
    <n v="20"/>
    <n v="16"/>
    <x v="4"/>
    <x v="4"/>
    <n v="352"/>
  </r>
  <r>
    <s v="JN-6167"/>
    <x v="5"/>
    <x v="27"/>
    <n v="60"/>
    <n v="13"/>
    <n v="11"/>
    <x v="1"/>
    <x v="5"/>
    <n v="385"/>
  </r>
  <r>
    <s v="JN-6190"/>
    <x v="5"/>
    <x v="5"/>
    <n v="30"/>
    <n v="6"/>
    <n v="4"/>
    <x v="2"/>
    <x v="6"/>
    <n v="600"/>
  </r>
  <r>
    <s v="JN-6223"/>
    <x v="5"/>
    <x v="6"/>
    <n v="48"/>
    <n v="11"/>
    <n v="9"/>
    <x v="3"/>
    <x v="7"/>
    <n v="2700"/>
  </r>
  <r>
    <s v="JN-6256"/>
    <x v="5"/>
    <x v="7"/>
    <n v="98"/>
    <n v="24"/>
    <n v="20"/>
    <x v="5"/>
    <x v="8"/>
    <n v="900"/>
  </r>
  <r>
    <s v="JN-6289"/>
    <x v="5"/>
    <x v="8"/>
    <n v="74"/>
    <n v="15"/>
    <n v="13"/>
    <x v="0"/>
    <x v="9"/>
    <n v="780"/>
  </r>
  <r>
    <s v="JN-6312"/>
    <x v="5"/>
    <x v="9"/>
    <n v="128"/>
    <n v="38"/>
    <n v="33"/>
    <x v="1"/>
    <x v="10"/>
    <n v="2475"/>
  </r>
  <r>
    <s v="JN-6378"/>
    <x v="5"/>
    <x v="10"/>
    <n v="115"/>
    <n v="32"/>
    <n v="27"/>
    <x v="2"/>
    <x v="11"/>
    <n v="1755"/>
  </r>
  <r>
    <s v="JN-6378"/>
    <x v="5"/>
    <x v="11"/>
    <n v="88"/>
    <n v="22"/>
    <n v="18"/>
    <x v="3"/>
    <x v="12"/>
    <n v="1440"/>
  </r>
  <r>
    <s v="JN-6401"/>
    <x v="5"/>
    <x v="12"/>
    <n v="24"/>
    <n v="5"/>
    <n v="3"/>
    <x v="5"/>
    <x v="13"/>
    <n v="2100"/>
  </r>
  <r>
    <s v="JN-6434"/>
    <x v="5"/>
    <x v="13"/>
    <n v="40"/>
    <n v="9"/>
    <n v="7"/>
    <x v="4"/>
    <x v="14"/>
    <n v="2240"/>
  </r>
  <r>
    <s v="JN-6467"/>
    <x v="5"/>
    <x v="14"/>
    <n v="142"/>
    <n v="42"/>
    <n v="37"/>
    <x v="0"/>
    <x v="15"/>
    <n v="740"/>
  </r>
  <r>
    <s v="JN-6490"/>
    <x v="5"/>
    <x v="28"/>
    <n v="160"/>
    <n v="52"/>
    <n v="47"/>
    <x v="2"/>
    <x v="16"/>
    <n v="564"/>
  </r>
  <r>
    <s v="JN-6523"/>
    <x v="5"/>
    <x v="15"/>
    <n v="188"/>
    <n v="63"/>
    <n v="58"/>
    <x v="3"/>
    <x v="17"/>
    <n v="348"/>
  </r>
  <r>
    <s v="JN-6556"/>
    <x v="5"/>
    <x v="16"/>
    <n v="78"/>
    <n v="18"/>
    <n v="15"/>
    <x v="5"/>
    <x v="18"/>
    <n v="270"/>
  </r>
  <r>
    <s v="JN-6589"/>
    <x v="5"/>
    <x v="17"/>
    <n v="63"/>
    <n v="14"/>
    <n v="11"/>
    <x v="1"/>
    <x v="19"/>
    <n v="605"/>
  </r>
  <r>
    <s v="JN-6645"/>
    <x v="5"/>
    <x v="18"/>
    <n v="54"/>
    <n v="11"/>
    <n v="8"/>
    <x v="4"/>
    <x v="20"/>
    <n v="200"/>
  </r>
  <r>
    <s v="JN-6645"/>
    <x v="5"/>
    <x v="19"/>
    <n v="44"/>
    <n v="10"/>
    <n v="8"/>
    <x v="2"/>
    <x v="21"/>
    <n v="1680"/>
  </r>
  <r>
    <s v="JN-6678"/>
    <x v="5"/>
    <x v="20"/>
    <n v="37"/>
    <n v="6"/>
    <n v="4"/>
    <x v="3"/>
    <x v="22"/>
    <n v="2600"/>
  </r>
  <r>
    <s v="JN-6701"/>
    <x v="5"/>
    <x v="21"/>
    <n v="20"/>
    <n v="3"/>
    <n v="2"/>
    <x v="5"/>
    <x v="23"/>
    <n v="1800"/>
  </r>
  <r>
    <s v="JN-6734"/>
    <x v="5"/>
    <x v="22"/>
    <n v="150"/>
    <n v="45"/>
    <n v="40"/>
    <x v="0"/>
    <x v="24"/>
    <n v="560"/>
  </r>
  <r>
    <s v="JN-6767"/>
    <x v="5"/>
    <x v="29"/>
    <n v="14"/>
    <n v="2"/>
    <n v="1"/>
    <x v="1"/>
    <x v="25"/>
    <n v="480"/>
  </r>
  <r>
    <s v="JN-6790"/>
    <x v="5"/>
    <x v="23"/>
    <n v="170"/>
    <n v="58"/>
    <n v="53"/>
    <x v="2"/>
    <x v="26"/>
    <n v="530"/>
  </r>
  <r>
    <s v="JN-6823"/>
    <x v="5"/>
    <x v="24"/>
    <n v="75"/>
    <n v="17"/>
    <n v="14"/>
    <x v="3"/>
    <x v="27"/>
    <n v="1330"/>
  </r>
  <r>
    <s v="JN-6856"/>
    <x v="5"/>
    <x v="26"/>
    <n v="65"/>
    <n v="15"/>
    <n v="12"/>
    <x v="5"/>
    <x v="28"/>
    <n v="1020"/>
  </r>
  <r>
    <s v="JN-6889"/>
    <x v="5"/>
    <x v="26"/>
    <n v="12"/>
    <n v="2"/>
    <n v="1"/>
    <x v="4"/>
    <x v="29"/>
    <n v="400"/>
  </r>
  <r>
    <s v="F-2041"/>
    <x v="6"/>
    <x v="0"/>
    <n v="115"/>
    <n v="38"/>
    <n v="32"/>
    <x v="0"/>
    <x v="0"/>
    <n v="143"/>
  </r>
  <r>
    <s v="F-2077"/>
    <x v="6"/>
    <x v="1"/>
    <n v="145"/>
    <n v="58"/>
    <n v="52"/>
    <x v="3"/>
    <x v="1"/>
    <n v="416"/>
  </r>
  <r>
    <s v="F-2102"/>
    <x v="6"/>
    <x v="2"/>
    <n v="78"/>
    <n v="20"/>
    <n v="18"/>
    <x v="5"/>
    <x v="2"/>
    <n v="2160"/>
  </r>
  <r>
    <s v="F-2139"/>
    <x v="6"/>
    <x v="3"/>
    <n v="42"/>
    <n v="12"/>
    <n v="9"/>
    <x v="1"/>
    <x v="3"/>
    <n v="4950"/>
  </r>
  <r>
    <s v="F-2166"/>
    <x v="6"/>
    <x v="4"/>
    <n v="90"/>
    <n v="25"/>
    <n v="20"/>
    <x v="2"/>
    <x v="4"/>
    <n v="440"/>
  </r>
  <r>
    <s v="F-2214"/>
    <x v="6"/>
    <x v="27"/>
    <n v="68"/>
    <n v="18"/>
    <n v="16"/>
    <x v="4"/>
    <x v="5"/>
    <n v="560"/>
  </r>
  <r>
    <s v="F-2214"/>
    <x v="6"/>
    <x v="5"/>
    <n v="38"/>
    <n v="10"/>
    <n v="7"/>
    <x v="3"/>
    <x v="6"/>
    <n v="1050"/>
  </r>
  <r>
    <s v="F-2248"/>
    <x v="6"/>
    <x v="6"/>
    <n v="58"/>
    <n v="15"/>
    <n v="13"/>
    <x v="5"/>
    <x v="7"/>
    <n v="3900"/>
  </r>
  <r>
    <s v="F-2275"/>
    <x v="6"/>
    <x v="7"/>
    <n v="108"/>
    <n v="32"/>
    <n v="28"/>
    <x v="0"/>
    <x v="8"/>
    <n v="1260"/>
  </r>
  <r>
    <s v="F-2299"/>
    <x v="6"/>
    <x v="9"/>
    <n v="82"/>
    <n v="20"/>
    <n v="18"/>
    <x v="1"/>
    <x v="9"/>
    <n v="1080"/>
  </r>
  <r>
    <s v="F-2321"/>
    <x v="6"/>
    <x v="9"/>
    <n v="138"/>
    <n v="48"/>
    <n v="42"/>
    <x v="2"/>
    <x v="10"/>
    <n v="3150"/>
  </r>
  <r>
    <s v="F-2355"/>
    <x v="6"/>
    <x v="10"/>
    <n v="125"/>
    <n v="40"/>
    <n v="35"/>
    <x v="3"/>
    <x v="11"/>
    <n v="2275"/>
  </r>
  <r>
    <s v="F-2388"/>
    <x v="6"/>
    <x v="11"/>
    <n v="96"/>
    <n v="28"/>
    <n v="24"/>
    <x v="4"/>
    <x v="12"/>
    <n v="1920"/>
  </r>
  <r>
    <s v="F-2403"/>
    <x v="6"/>
    <x v="12"/>
    <n v="32"/>
    <n v="9"/>
    <n v="6"/>
    <x v="5"/>
    <x v="13"/>
    <n v="4200"/>
  </r>
  <r>
    <s v="F-2436"/>
    <x v="6"/>
    <x v="13"/>
    <n v="48"/>
    <n v="13"/>
    <n v="11"/>
    <x v="2"/>
    <x v="14"/>
    <n v="3520"/>
  </r>
  <r>
    <s v="F-2492"/>
    <x v="6"/>
    <x v="14"/>
    <n v="155"/>
    <n v="50"/>
    <n v="46"/>
    <x v="0"/>
    <x v="15"/>
    <n v="920"/>
  </r>
  <r>
    <s v="F-2492"/>
    <x v="6"/>
    <x v="28"/>
    <n v="175"/>
    <n v="65"/>
    <n v="60"/>
    <x v="1"/>
    <x v="16"/>
    <n v="720"/>
  </r>
  <r>
    <s v="F-2525"/>
    <x v="6"/>
    <x v="15"/>
    <n v="198"/>
    <n v="75"/>
    <n v="70"/>
    <x v="3"/>
    <x v="17"/>
    <n v="420"/>
  </r>
  <r>
    <s v="F-2558"/>
    <x v="6"/>
    <x v="16"/>
    <n v="88"/>
    <n v="25"/>
    <n v="22"/>
    <x v="5"/>
    <x v="18"/>
    <n v="396"/>
  </r>
  <r>
    <s v="F-2581"/>
    <x v="6"/>
    <x v="17"/>
    <n v="73"/>
    <n v="18"/>
    <n v="15"/>
    <x v="4"/>
    <x v="19"/>
    <n v="825"/>
  </r>
  <r>
    <s v="F-2604"/>
    <x v="6"/>
    <x v="18"/>
    <n v="62"/>
    <n v="15"/>
    <n v="12"/>
    <x v="0"/>
    <x v="20"/>
    <n v="300"/>
  </r>
  <r>
    <s v="F-2637"/>
    <x v="6"/>
    <x v="19"/>
    <n v="52"/>
    <n v="14"/>
    <n v="12"/>
    <x v="2"/>
    <x v="21"/>
    <n v="2520"/>
  </r>
  <r>
    <s v="F-2660"/>
    <x v="6"/>
    <x v="20"/>
    <n v="45"/>
    <n v="10"/>
    <n v="8"/>
    <x v="3"/>
    <x v="22"/>
    <n v="5200"/>
  </r>
  <r>
    <s v="F-2693"/>
    <x v="6"/>
    <x v="22"/>
    <n v="28"/>
    <n v="7"/>
    <n v="5"/>
    <x v="5"/>
    <x v="23"/>
    <n v="4500"/>
  </r>
  <r>
    <s v="F-2726"/>
    <x v="6"/>
    <x v="22"/>
    <n v="165"/>
    <n v="55"/>
    <n v="50"/>
    <x v="1"/>
    <x v="24"/>
    <n v="700"/>
  </r>
  <r>
    <s v="F-2759"/>
    <x v="6"/>
    <x v="29"/>
    <n v="22"/>
    <n v="5"/>
    <n v="4"/>
    <x v="4"/>
    <x v="25"/>
    <n v="1920"/>
  </r>
  <r>
    <s v="F-2782"/>
    <x v="6"/>
    <x v="23"/>
    <n v="185"/>
    <n v="70"/>
    <n v="65"/>
    <x v="2"/>
    <x v="26"/>
    <n v="650"/>
  </r>
  <r>
    <s v="F-2815"/>
    <x v="6"/>
    <x v="24"/>
    <n v="85"/>
    <n v="22"/>
    <n v="19"/>
    <x v="3"/>
    <x v="27"/>
    <n v="1805"/>
  </r>
  <r>
    <s v="F-2871"/>
    <x v="6"/>
    <x v="25"/>
    <n v="75"/>
    <n v="19"/>
    <n v="17"/>
    <x v="0"/>
    <x v="28"/>
    <n v="1445"/>
  </r>
  <r>
    <s v="F-2871"/>
    <x v="6"/>
    <x v="26"/>
    <n v="18"/>
    <n v="4"/>
    <n v="3"/>
    <x v="5"/>
    <x v="29"/>
    <n v="1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9D3640-64DD-48BF-BC88-9A9D876223E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H15:H16" firstHeaderRow="1" firstDataRow="1" firstDataCol="0"/>
  <pivotFields count="9">
    <pivotField showAll="0"/>
    <pivotField showAll="0">
      <items count="8">
        <item x="2"/>
        <item x="0"/>
        <item x="1"/>
        <item x="6"/>
        <item x="3"/>
        <item x="4"/>
        <item x="5"/>
        <item t="default"/>
      </items>
    </pivotField>
    <pivotField showAll="0">
      <items count="31">
        <item h="1" x="21"/>
        <item h="1" x="28"/>
        <item h="1" x="24"/>
        <item h="1" x="13"/>
        <item h="1" x="23"/>
        <item h="1" x="22"/>
        <item h="1" x="12"/>
        <item h="1" x="10"/>
        <item h="1" x="15"/>
        <item h="1" x="4"/>
        <item h="1" x="0"/>
        <item h="1" x="3"/>
        <item h="1" x="17"/>
        <item h="1" x="25"/>
        <item x="2"/>
        <item h="1" x="1"/>
        <item h="1" x="20"/>
        <item h="1" x="14"/>
        <item h="1" x="5"/>
        <item h="1" x="29"/>
        <item h="1" x="11"/>
        <item h="1" x="8"/>
        <item h="1" x="19"/>
        <item h="1" x="7"/>
        <item h="1" x="9"/>
        <item h="1" x="6"/>
        <item h="1" x="18"/>
        <item h="1" x="16"/>
        <item h="1" x="26"/>
        <item h="1" x="27"/>
        <item t="default"/>
      </items>
    </pivotField>
    <pivotField showAll="0"/>
    <pivotField showAll="0"/>
    <pivotField dataField="1" showAll="0"/>
    <pivotField showAll="0">
      <items count="7">
        <item x="2"/>
        <item x="3"/>
        <item x="5"/>
        <item x="0"/>
        <item x="1"/>
        <item x="4"/>
        <item t="default"/>
      </items>
    </pivotField>
    <pivotField showAll="0"/>
    <pivotField showAll="0"/>
  </pivotFields>
  <rowItems count="1">
    <i/>
  </rowItems>
  <colItems count="1">
    <i/>
  </colItems>
  <dataFields count="1">
    <dataField name="Sum of Content.Stock_Out"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0EA021-4C6D-44B1-9C45-6D64FAC6ABF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fieldListSortAscending="1">
  <location ref="K1:L8" firstHeaderRow="1" firstDataRow="1" firstDataCol="1"/>
  <pivotFields count="9">
    <pivotField showAll="0"/>
    <pivotField showAll="0">
      <items count="8">
        <item x="2"/>
        <item x="0"/>
        <item x="1"/>
        <item x="6"/>
        <item x="3"/>
        <item x="4"/>
        <item x="5"/>
        <item t="default"/>
      </items>
    </pivotField>
    <pivotField showAll="0">
      <items count="31">
        <item h="1" x="21"/>
        <item h="1" x="28"/>
        <item h="1" x="24"/>
        <item h="1" x="13"/>
        <item h="1" x="23"/>
        <item h="1" x="22"/>
        <item h="1" x="12"/>
        <item h="1" x="10"/>
        <item h="1" x="15"/>
        <item h="1" x="4"/>
        <item h="1" x="0"/>
        <item h="1" x="3"/>
        <item h="1" x="17"/>
        <item h="1" x="25"/>
        <item x="2"/>
        <item h="1" x="1"/>
        <item h="1" x="20"/>
        <item h="1" x="14"/>
        <item h="1" x="5"/>
        <item h="1" x="29"/>
        <item h="1" x="11"/>
        <item h="1" x="8"/>
        <item h="1" x="19"/>
        <item h="1" x="7"/>
        <item h="1" x="9"/>
        <item h="1" x="6"/>
        <item h="1" x="18"/>
        <item h="1" x="16"/>
        <item h="1" x="26"/>
        <item h="1" x="27"/>
        <item t="default"/>
      </items>
    </pivotField>
    <pivotField showAll="0"/>
    <pivotField showAll="0"/>
    <pivotField showAll="0"/>
    <pivotField axis="axisRow" showAll="0">
      <items count="7">
        <item x="2"/>
        <item x="3"/>
        <item x="5"/>
        <item x="0"/>
        <item x="1"/>
        <item x="4"/>
        <item t="default"/>
      </items>
    </pivotField>
    <pivotField showAll="0"/>
    <pivotField dataField="1" showAll="0"/>
  </pivotFields>
  <rowFields count="1">
    <field x="6"/>
  </rowFields>
  <rowItems count="7">
    <i>
      <x/>
    </i>
    <i>
      <x v="1"/>
    </i>
    <i>
      <x v="2"/>
    </i>
    <i>
      <x v="3"/>
    </i>
    <i>
      <x v="4"/>
    </i>
    <i>
      <x v="5"/>
    </i>
    <i t="grand">
      <x/>
    </i>
  </rowItems>
  <colItems count="1">
    <i/>
  </colItems>
  <dataFields count="1">
    <dataField name="Sum of Content.Total_Sales" fld="8" baseField="0" baseItem="0"/>
  </dataFields>
  <chartFormats count="14">
    <chartFormat chart="0"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1"/>
          </reference>
        </references>
      </pivotArea>
    </chartFormat>
    <chartFormat chart="5" format="11">
      <pivotArea type="data" outline="0" fieldPosition="0">
        <references count="2">
          <reference field="4294967294" count="1" selected="0">
            <x v="0"/>
          </reference>
          <reference field="6" count="1" selected="0">
            <x v="2"/>
          </reference>
        </references>
      </pivotArea>
    </chartFormat>
    <chartFormat chart="5" format="12">
      <pivotArea type="data" outline="0" fieldPosition="0">
        <references count="2">
          <reference field="4294967294" count="1" selected="0">
            <x v="0"/>
          </reference>
          <reference field="6" count="1" selected="0">
            <x v="3"/>
          </reference>
        </references>
      </pivotArea>
    </chartFormat>
    <chartFormat chart="5" format="13">
      <pivotArea type="data" outline="0" fieldPosition="0">
        <references count="2">
          <reference field="4294967294" count="1" selected="0">
            <x v="0"/>
          </reference>
          <reference field="6" count="1" selected="0">
            <x v="4"/>
          </reference>
        </references>
      </pivotArea>
    </chartFormat>
    <chartFormat chart="5" format="14">
      <pivotArea type="data" outline="0" fieldPosition="0">
        <references count="2">
          <reference field="4294967294" count="1" selected="0">
            <x v="0"/>
          </reference>
          <reference field="6" count="1" selected="0">
            <x v="5"/>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0" format="6">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92A621-77DE-4ADF-822C-B9C1F0733A9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fieldListSortAscending="1">
  <location ref="H1:I8" firstHeaderRow="1" firstDataRow="1" firstDataCol="1"/>
  <pivotFields count="9">
    <pivotField showAll="0"/>
    <pivotField showAll="0">
      <items count="8">
        <item x="2"/>
        <item x="0"/>
        <item x="1"/>
        <item x="6"/>
        <item x="3"/>
        <item x="4"/>
        <item x="5"/>
        <item t="default"/>
      </items>
    </pivotField>
    <pivotField showAll="0">
      <items count="31">
        <item h="1" x="21"/>
        <item h="1" x="28"/>
        <item h="1" x="24"/>
        <item h="1" x="13"/>
        <item h="1" x="23"/>
        <item h="1" x="22"/>
        <item h="1" x="12"/>
        <item h="1" x="10"/>
        <item h="1" x="15"/>
        <item h="1" x="4"/>
        <item h="1" x="0"/>
        <item h="1" x="3"/>
        <item h="1" x="17"/>
        <item h="1" x="25"/>
        <item x="2"/>
        <item h="1" x="1"/>
        <item h="1" x="20"/>
        <item h="1" x="14"/>
        <item h="1" x="5"/>
        <item h="1" x="29"/>
        <item h="1" x="11"/>
        <item h="1" x="8"/>
        <item h="1" x="19"/>
        <item h="1" x="7"/>
        <item h="1" x="9"/>
        <item h="1" x="6"/>
        <item h="1" x="18"/>
        <item h="1" x="16"/>
        <item h="1" x="26"/>
        <item h="1" x="27"/>
        <item t="default"/>
      </items>
    </pivotField>
    <pivotField dataField="1" showAll="0"/>
    <pivotField showAll="0"/>
    <pivotField showAll="0"/>
    <pivotField axis="axisRow" showAll="0">
      <items count="7">
        <item x="2"/>
        <item x="3"/>
        <item x="5"/>
        <item x="0"/>
        <item x="1"/>
        <item x="4"/>
        <item t="default"/>
      </items>
    </pivotField>
    <pivotField showAll="0"/>
    <pivotField showAll="0"/>
  </pivotFields>
  <rowFields count="1">
    <field x="6"/>
  </rowFields>
  <rowItems count="7">
    <i>
      <x/>
    </i>
    <i>
      <x v="1"/>
    </i>
    <i>
      <x v="2"/>
    </i>
    <i>
      <x v="3"/>
    </i>
    <i>
      <x v="4"/>
    </i>
    <i>
      <x v="5"/>
    </i>
    <i t="grand">
      <x/>
    </i>
  </rowItems>
  <colItems count="1">
    <i/>
  </colItems>
  <dataFields count="1">
    <dataField name="Sum of Content.Bal_in_Stock" fld="3" baseField="0" baseItem="0"/>
  </dataFields>
  <chartFormats count="14">
    <chartFormat chart="0" format="0"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6" count="1" selected="0">
            <x v="0"/>
          </reference>
        </references>
      </pivotArea>
    </chartFormat>
    <chartFormat chart="5" format="10">
      <pivotArea type="data" outline="0" fieldPosition="0">
        <references count="2">
          <reference field="4294967294" count="1" selected="0">
            <x v="0"/>
          </reference>
          <reference field="6" count="1" selected="0">
            <x v="1"/>
          </reference>
        </references>
      </pivotArea>
    </chartFormat>
    <chartFormat chart="5" format="11">
      <pivotArea type="data" outline="0" fieldPosition="0">
        <references count="2">
          <reference field="4294967294" count="1" selected="0">
            <x v="0"/>
          </reference>
          <reference field="6" count="1" selected="0">
            <x v="2"/>
          </reference>
        </references>
      </pivotArea>
    </chartFormat>
    <chartFormat chart="5" format="12">
      <pivotArea type="data" outline="0" fieldPosition="0">
        <references count="2">
          <reference field="4294967294" count="1" selected="0">
            <x v="0"/>
          </reference>
          <reference field="6" count="1" selected="0">
            <x v="3"/>
          </reference>
        </references>
      </pivotArea>
    </chartFormat>
    <chartFormat chart="5" format="13">
      <pivotArea type="data" outline="0" fieldPosition="0">
        <references count="2">
          <reference field="4294967294" count="1" selected="0">
            <x v="0"/>
          </reference>
          <reference field="6" count="1" selected="0">
            <x v="4"/>
          </reference>
        </references>
      </pivotArea>
    </chartFormat>
    <chartFormat chart="5" format="14">
      <pivotArea type="data" outline="0" fieldPosition="0">
        <references count="2">
          <reference field="4294967294" count="1" selected="0">
            <x v="0"/>
          </reference>
          <reference field="6" count="1" selected="0">
            <x v="5"/>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 chart="0" format="6">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8974671-3EFC-437D-8CCC-FEE2F0529B2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fieldListSortAscending="1">
  <location ref="E1:F32" firstHeaderRow="1" firstDataRow="1" firstDataCol="1"/>
  <pivotFields count="9">
    <pivotField showAll="0"/>
    <pivotField showAll="0">
      <items count="8">
        <item x="2"/>
        <item x="0"/>
        <item x="1"/>
        <item x="6"/>
        <item x="3"/>
        <item x="4"/>
        <item x="5"/>
        <item t="default"/>
      </items>
    </pivotField>
    <pivotField axis="axisRow" showAll="0">
      <items count="31">
        <item x="21"/>
        <item x="28"/>
        <item x="24"/>
        <item x="13"/>
        <item x="23"/>
        <item x="22"/>
        <item x="12"/>
        <item x="10"/>
        <item x="15"/>
        <item x="4"/>
        <item x="0"/>
        <item x="3"/>
        <item x="17"/>
        <item x="25"/>
        <item x="2"/>
        <item x="1"/>
        <item x="20"/>
        <item x="14"/>
        <item x="5"/>
        <item x="29"/>
        <item x="11"/>
        <item x="8"/>
        <item x="19"/>
        <item x="7"/>
        <item x="9"/>
        <item x="6"/>
        <item x="18"/>
        <item x="16"/>
        <item x="26"/>
        <item x="27"/>
        <item t="default"/>
      </items>
    </pivotField>
    <pivotField dataField="1" showAll="0"/>
    <pivotField showAll="0"/>
    <pivotField showAll="0"/>
    <pivotField showAll="0">
      <items count="7">
        <item x="2"/>
        <item x="3"/>
        <item x="5"/>
        <item x="0"/>
        <item x="1"/>
        <item x="4"/>
        <item t="default"/>
      </items>
    </pivotField>
    <pivotField showAll="0"/>
    <pivotField showAll="0"/>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Content.Bal_in_Stock" fld="3" baseField="0" baseItem="0"/>
  </dataFields>
  <chartFormats count="3">
    <chartFormat chart="9" format="4"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388EEA1-08E5-4EEC-B6DE-F6361FA2B57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H18:H19" firstHeaderRow="1" firstDataRow="1" firstDataCol="0"/>
  <pivotFields count="9">
    <pivotField showAll="0"/>
    <pivotField showAll="0">
      <items count="8">
        <item x="2"/>
        <item x="0"/>
        <item x="1"/>
        <item x="6"/>
        <item x="3"/>
        <item x="4"/>
        <item x="5"/>
        <item t="default"/>
      </items>
    </pivotField>
    <pivotField showAll="0">
      <items count="31">
        <item h="1" x="21"/>
        <item h="1" x="28"/>
        <item h="1" x="24"/>
        <item h="1" x="13"/>
        <item h="1" x="23"/>
        <item h="1" x="22"/>
        <item h="1" x="12"/>
        <item h="1" x="10"/>
        <item h="1" x="15"/>
        <item h="1" x="4"/>
        <item h="1" x="0"/>
        <item h="1" x="3"/>
        <item h="1" x="17"/>
        <item h="1" x="25"/>
        <item x="2"/>
        <item h="1" x="1"/>
        <item h="1" x="20"/>
        <item h="1" x="14"/>
        <item h="1" x="5"/>
        <item h="1" x="29"/>
        <item h="1" x="11"/>
        <item h="1" x="8"/>
        <item h="1" x="19"/>
        <item h="1" x="7"/>
        <item h="1" x="9"/>
        <item h="1" x="6"/>
        <item h="1" x="18"/>
        <item h="1" x="16"/>
        <item h="1" x="26"/>
        <item h="1" x="27"/>
        <item t="default"/>
      </items>
    </pivotField>
    <pivotField dataField="1" showAll="0"/>
    <pivotField showAll="0"/>
    <pivotField showAll="0"/>
    <pivotField showAll="0">
      <items count="7">
        <item x="2"/>
        <item x="3"/>
        <item x="5"/>
        <item x="0"/>
        <item x="1"/>
        <item x="4"/>
        <item t="default"/>
      </items>
    </pivotField>
    <pivotField showAll="0"/>
    <pivotField showAll="0"/>
  </pivotFields>
  <rowItems count="1">
    <i/>
  </rowItems>
  <colItems count="1">
    <i/>
  </colItems>
  <dataFields count="1">
    <dataField name="Sum of Content.Bal_in_Stock"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EC00214-1718-470C-A97D-5FA4E9C01D0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fieldListSortAscending="1">
  <location ref="A1:B32" firstHeaderRow="1" firstDataRow="1" firstDataCol="1"/>
  <pivotFields count="9">
    <pivotField showAll="0"/>
    <pivotField showAll="0">
      <items count="8">
        <item x="2"/>
        <item x="0"/>
        <item x="1"/>
        <item x="6"/>
        <item x="3"/>
        <item x="4"/>
        <item x="5"/>
        <item t="default"/>
      </items>
    </pivotField>
    <pivotField axis="axisRow" showAll="0">
      <items count="31">
        <item x="21"/>
        <item x="28"/>
        <item x="24"/>
        <item x="13"/>
        <item x="23"/>
        <item x="22"/>
        <item x="12"/>
        <item x="10"/>
        <item x="15"/>
        <item x="4"/>
        <item x="0"/>
        <item x="3"/>
        <item x="17"/>
        <item x="25"/>
        <item x="2"/>
        <item x="1"/>
        <item x="20"/>
        <item x="14"/>
        <item x="5"/>
        <item x="29"/>
        <item x="11"/>
        <item x="8"/>
        <item x="19"/>
        <item x="7"/>
        <item x="9"/>
        <item x="6"/>
        <item x="18"/>
        <item x="16"/>
        <item x="26"/>
        <item x="27"/>
        <item t="default"/>
      </items>
    </pivotField>
    <pivotField dataField="1" showAll="0"/>
    <pivotField showAll="0"/>
    <pivotField showAll="0"/>
    <pivotField showAll="0"/>
    <pivotField showAll="0"/>
    <pivotField showAll="0"/>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Content.Bal_in_Stock"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3DD74E-F130-4BA5-8413-0C837E7FC81E}"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fieldListSortAscending="1">
  <location ref="H12:H13" firstHeaderRow="1" firstDataRow="1" firstDataCol="0"/>
  <pivotFields count="9">
    <pivotField showAll="0"/>
    <pivotField showAll="0">
      <items count="8">
        <item x="2"/>
        <item x="0"/>
        <item x="1"/>
        <item x="6"/>
        <item x="3"/>
        <item x="4"/>
        <item x="5"/>
        <item t="default"/>
      </items>
    </pivotField>
    <pivotField showAll="0">
      <items count="31">
        <item h="1" x="21"/>
        <item h="1" x="28"/>
        <item h="1" x="24"/>
        <item h="1" x="13"/>
        <item h="1" x="23"/>
        <item h="1" x="22"/>
        <item h="1" x="12"/>
        <item h="1" x="10"/>
        <item h="1" x="15"/>
        <item h="1" x="4"/>
        <item h="1" x="0"/>
        <item h="1" x="3"/>
        <item h="1" x="17"/>
        <item h="1" x="25"/>
        <item x="2"/>
        <item h="1" x="1"/>
        <item h="1" x="20"/>
        <item h="1" x="14"/>
        <item h="1" x="5"/>
        <item h="1" x="29"/>
        <item h="1" x="11"/>
        <item h="1" x="8"/>
        <item h="1" x="19"/>
        <item h="1" x="7"/>
        <item h="1" x="9"/>
        <item h="1" x="6"/>
        <item h="1" x="18"/>
        <item h="1" x="16"/>
        <item h="1" x="26"/>
        <item h="1" x="27"/>
        <item t="default"/>
      </items>
    </pivotField>
    <pivotField showAll="0"/>
    <pivotField dataField="1" showAll="0"/>
    <pivotField showAll="0"/>
    <pivotField showAll="0">
      <items count="7">
        <item x="2"/>
        <item x="3"/>
        <item x="5"/>
        <item x="0"/>
        <item x="1"/>
        <item x="4"/>
        <item t="default"/>
      </items>
    </pivotField>
    <pivotField showAll="0"/>
    <pivotField showAll="0"/>
  </pivotFields>
  <rowItems count="1">
    <i/>
  </rowItems>
  <colItems count="1">
    <i/>
  </colItems>
  <dataFields count="1">
    <dataField name="Sum of Content.Stock_In"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ent.Month" xr10:uid="{5BF06A5F-148F-4200-9E03-7C151A81FA70}" sourceName="Content.Month">
  <pivotTables>
    <pivotTable tabId="15" name="PivotTable2"/>
    <pivotTable tabId="15" name="PivotTable1"/>
    <pivotTable tabId="15" name="PivotTable3"/>
    <pivotTable tabId="15" name="PivotTable4"/>
    <pivotTable tabId="15" name="PivotTable5"/>
    <pivotTable tabId="15" name="PivotTable6"/>
    <pivotTable tabId="15" name="PivotTable7"/>
  </pivotTables>
  <data>
    <tabular pivotCacheId="87137775">
      <items count="7">
        <i x="2" s="1"/>
        <i x="3" s="1"/>
        <i x="0" s="1"/>
        <i x="1" s="1"/>
        <i x="4"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ent.Month" xr10:uid="{16B549D7-FBF6-43F8-914B-5D5A441FA7A9}" cache="Slicer_Content.Month" caption="MONTH" columnCount="4" style="SlicerStyleLight2" rowHeight="43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E49B779-FE90-404D-B6CD-C2C05FAECE36}" name="Table1" displayName="Table1" ref="A1:I31" totalsRowShown="0" headerRowDxfId="76" dataDxfId="75">
  <autoFilter ref="A1:I31" xr:uid="{EE49B779-FE90-404D-B6CD-C2C05FAECE36}"/>
  <tableColumns count="9">
    <tableColumn id="1" xr3:uid="{8526D18A-1FDD-4935-AB64-F462F591299F}" name="Id" dataDxfId="74"/>
    <tableColumn id="2" xr3:uid="{2123531C-22AB-4E83-9950-0A65CD33FEE4}" name="Month" dataDxfId="73"/>
    <tableColumn id="3" xr3:uid="{2289F720-CEED-470B-AFCA-A705A3FE836C}" name="Product" dataDxfId="72"/>
    <tableColumn id="4" xr3:uid="{A1F679C3-AC56-42E2-BC52-076BFD2EBB49}" name="Bal_in_Stock" dataDxfId="71"/>
    <tableColumn id="5" xr3:uid="{A1E7B6C7-689C-48D5-852C-3EEFDFECC92F}" name="Stock_In" dataDxfId="70"/>
    <tableColumn id="6" xr3:uid="{9070FEA9-F3E1-4012-B256-0EFA70B88C31}" name="Stock_Out" dataDxfId="69"/>
    <tableColumn id="7" xr3:uid="{9568DDFF-BE6B-41DB-A2D9-352E0B9A4C2E}" name="Location" dataDxfId="68"/>
    <tableColumn id="8" xr3:uid="{C40BC5F4-144B-4CD3-83F0-F6A34F85FF69}" name="Unit_Cost" dataDxfId="67"/>
    <tableColumn id="9" xr3:uid="{2DE52D68-854F-4C46-B0B1-C081D236AA96}" name="Total_Sales" dataDxfId="6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4897BB-59F8-4015-9C4E-6379052B85A6}" name="Table2" displayName="Table2" ref="A1:I31" totalsRowShown="0" headerRowDxfId="65" dataDxfId="64">
  <autoFilter ref="A1:I31" xr:uid="{DB4897BB-59F8-4015-9C4E-6379052B85A6}"/>
  <tableColumns count="9">
    <tableColumn id="1" xr3:uid="{C7AF7D3E-2BEE-4500-B685-9A5F6AE53392}" name="Id" dataDxfId="63"/>
    <tableColumn id="2" xr3:uid="{A6883DC8-707C-43C8-A2CB-087977F913BD}" name="Month" dataDxfId="62"/>
    <tableColumn id="3" xr3:uid="{A99284C7-BA03-46F5-B505-7730761B2D4D}" name="Product" dataDxfId="61"/>
    <tableColumn id="4" xr3:uid="{B0FDF1E6-D9C9-45C6-BF5C-BCB3F79D5258}" name="Bal_in_Stock" dataDxfId="60"/>
    <tableColumn id="5" xr3:uid="{CCB9EA9B-68E1-45D8-ABD6-B47693CBF410}" name="Stock_In" dataDxfId="59"/>
    <tableColumn id="6" xr3:uid="{F060F6AF-36F2-4BF8-8A5B-899534F4A7CA}" name="Stock_Out" dataDxfId="58"/>
    <tableColumn id="7" xr3:uid="{671B4B21-D1C7-4C8F-8D84-3D8CE74D9DF7}" name="Location" dataDxfId="57"/>
    <tableColumn id="8" xr3:uid="{F4064BA7-A003-4137-B12F-1D8D82B19148}" name="Unit_Cost" dataDxfId="56"/>
    <tableColumn id="9" xr3:uid="{A16A1D91-2567-4EFB-A0CF-E8EF2824F585}" name="Total_Sales" dataDxfId="5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F449140-FAA9-4780-9C30-8A3A76529C27}" name="Table3" displayName="Table3" ref="A1:I31" totalsRowShown="0" headerRowDxfId="54" dataDxfId="53">
  <autoFilter ref="A1:I31" xr:uid="{9F449140-FAA9-4780-9C30-8A3A76529C27}"/>
  <tableColumns count="9">
    <tableColumn id="1" xr3:uid="{E4CD9C5A-7774-4087-BFDD-159E926A36AC}" name="Id" dataDxfId="52"/>
    <tableColumn id="2" xr3:uid="{CEACF974-7884-4A56-AD34-F0EE33590BEA}" name="Month" dataDxfId="51"/>
    <tableColumn id="3" xr3:uid="{37036D8B-8CC4-496E-ABDB-8679860C3BA7}" name="Product" dataDxfId="50"/>
    <tableColumn id="4" xr3:uid="{8302ECEB-FF3C-4160-8ADA-45CFF3423B0C}" name="Bal_in_Stock" dataDxfId="49"/>
    <tableColumn id="5" xr3:uid="{152A59FF-D1F4-4D61-A1CE-DC62708E8B38}" name="Stock_In" dataDxfId="48"/>
    <tableColumn id="6" xr3:uid="{C03BED33-0237-4C4D-9EA7-5FDA79A8ECDF}" name="Stock_Out" dataDxfId="47"/>
    <tableColumn id="7" xr3:uid="{6B8A9326-F13A-4B31-9ED5-81ED70804DC0}" name="Location" dataDxfId="46"/>
    <tableColumn id="8" xr3:uid="{CE733290-D869-4866-BB2B-E00476C6CA41}" name="Unit_Cost" dataDxfId="45"/>
    <tableColumn id="9" xr3:uid="{18C197EB-35A2-4A1C-A605-3719C994FA73}" name="Total_Sales" dataDxfId="44"/>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EE6F6F0-E36F-4F97-ACBF-24531DDA0831}" name="Table4" displayName="Table4" ref="A1:I31" totalsRowShown="0" headerRowDxfId="43" dataDxfId="42">
  <autoFilter ref="A1:I31" xr:uid="{4EE6F6F0-E36F-4F97-ACBF-24531DDA0831}"/>
  <tableColumns count="9">
    <tableColumn id="1" xr3:uid="{CA952941-A6F0-4FD1-AE86-24A5A9722039}" name="Id" dataDxfId="41"/>
    <tableColumn id="2" xr3:uid="{D39D812C-5854-4C7E-A651-54AA5912F208}" name="Month" dataDxfId="40"/>
    <tableColumn id="3" xr3:uid="{AC01D493-E331-422C-B321-D2821A1905A2}" name="Product" dataDxfId="39"/>
    <tableColumn id="4" xr3:uid="{9F1A40B2-DA12-4769-A608-590124C2BFCA}" name="Bal_in_Stock" dataDxfId="38"/>
    <tableColumn id="5" xr3:uid="{AB2A86A9-B2D3-4DA7-BD22-23ACEB8C1805}" name="Stock_In" dataDxfId="37"/>
    <tableColumn id="6" xr3:uid="{5E50709E-2A5B-43A2-AB6C-C71A7A39CE18}" name="Stock_Out" dataDxfId="36"/>
    <tableColumn id="7" xr3:uid="{8AC67A8E-A30F-44BA-BE89-0F18E77265B5}" name="Location" dataDxfId="35"/>
    <tableColumn id="8" xr3:uid="{332730CC-5ACE-4634-A70F-9C64E79D5A51}" name="Unit_Cost" dataDxfId="34"/>
    <tableColumn id="9" xr3:uid="{75EC70F9-4876-4A87-AA57-234E513A50A1}" name="Total_Sales" dataDxfId="33"/>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DBCB2B3-8ED0-4DA4-9736-16B7262A95E4}" name="Table5" displayName="Table5" ref="A1:I31" totalsRowShown="0" headerRowDxfId="32" dataDxfId="31">
  <autoFilter ref="A1:I31" xr:uid="{2DBCB2B3-8ED0-4DA4-9736-16B7262A95E4}"/>
  <tableColumns count="9">
    <tableColumn id="1" xr3:uid="{733DA17C-1460-4C47-97B5-C38820B68E78}" name="Id" dataDxfId="30"/>
    <tableColumn id="2" xr3:uid="{FA8396CC-0D03-4EE4-B11E-BB06F142B6D7}" name="Month" dataDxfId="29"/>
    <tableColumn id="3" xr3:uid="{F4CF9B3D-8839-4BE2-BE3E-DE4A0A135913}" name="Product" dataDxfId="28"/>
    <tableColumn id="4" xr3:uid="{E3B6EF64-B46F-4AC0-9ACD-C5A5C335CDFE}" name="Bal_in_Stock" dataDxfId="27"/>
    <tableColumn id="5" xr3:uid="{9F3108B2-4ABF-4F1D-B5E9-68A6D0BBF542}" name="Stock_In" dataDxfId="26"/>
    <tableColumn id="6" xr3:uid="{D8D3B467-0D9D-4105-A25C-030B10ABCF97}" name="Stock_Out" dataDxfId="25"/>
    <tableColumn id="7" xr3:uid="{31BE9A21-5792-4F8B-A09E-EB0A464A6E46}" name="Location" dataDxfId="24"/>
    <tableColumn id="8" xr3:uid="{B865B3BA-80AA-42BB-ACEF-B0E9C1B25061}" name="Unit_Cost" dataDxfId="23"/>
    <tableColumn id="9" xr3:uid="{DEF009D2-3B70-4422-9E3B-A3B35516C1F4}" name="Total_Sales" dataDxfId="22"/>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CDD2FC6-3279-4458-9DD0-809A4856594C}" name="Table6" displayName="Table6" ref="A1:I31" totalsRowShown="0" headerRowDxfId="21" dataDxfId="20">
  <autoFilter ref="A1:I31" xr:uid="{0CDD2FC6-3279-4458-9DD0-809A4856594C}"/>
  <tableColumns count="9">
    <tableColumn id="1" xr3:uid="{8A0B809F-64F4-4216-B4A2-6BA112417B73}" name="Id" dataDxfId="19"/>
    <tableColumn id="2" xr3:uid="{C17FE99F-AAD4-4670-B625-CFF88276A98B}" name="Month" dataDxfId="18"/>
    <tableColumn id="3" xr3:uid="{F90616AA-704F-4C23-B802-D98992A88816}" name="Product" dataDxfId="17"/>
    <tableColumn id="4" xr3:uid="{C037399B-A4A1-4F7E-B827-0D42E755504A}" name="Bal_in_Stock" dataDxfId="16"/>
    <tableColumn id="5" xr3:uid="{9D88E039-D577-4020-A48A-738A4CA47E88}" name="Stock_In" dataDxfId="15"/>
    <tableColumn id="6" xr3:uid="{A22075D8-C8C0-4629-940C-798C313B79B2}" name="Stock_Out" dataDxfId="14"/>
    <tableColumn id="7" xr3:uid="{9164BE67-16BF-458E-875F-67F47A6EB74D}" name="Location" dataDxfId="13"/>
    <tableColumn id="8" xr3:uid="{82323DFE-24CD-48FB-98E4-8FF2541367BE}" name="Unit_Cost" dataDxfId="12"/>
    <tableColumn id="9" xr3:uid="{70533015-A399-4277-9704-BE00C6EC46EF}" name="Total_Sales" dataDxfId="11"/>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4D23DAC-9BF3-4BFE-9E5E-3DF33B7EF502}" name="Table7" displayName="Table7" ref="A1:I31" totalsRowShown="0" headerRowDxfId="10" dataDxfId="9">
  <autoFilter ref="A1:I31" xr:uid="{34D23DAC-9BF3-4BFE-9E5E-3DF33B7EF502}"/>
  <tableColumns count="9">
    <tableColumn id="1" xr3:uid="{418B7850-60F4-4B0B-ABF3-83A2857207E8}" name="Id" dataDxfId="8"/>
    <tableColumn id="2" xr3:uid="{F0428502-3679-4A9A-B5CE-D412F0BE3449}" name="Month" dataDxfId="7"/>
    <tableColumn id="3" xr3:uid="{31AD12FD-BA4A-458C-A097-C9BA2FEC877E}" name="Product" dataDxfId="6"/>
    <tableColumn id="4" xr3:uid="{AF7D6FB2-D43B-42F7-8EB6-A22D2EC053FD}" name="Bal_in_Stock" dataDxfId="5"/>
    <tableColumn id="5" xr3:uid="{8BE181A6-CC0D-4ABD-8BE3-16B60186F7EC}" name="Stock_In" dataDxfId="4"/>
    <tableColumn id="6" xr3:uid="{F765B1AE-838C-4707-B70C-990C31CA8AE6}" name="Stock_Out" dataDxfId="3"/>
    <tableColumn id="7" xr3:uid="{4D0B5756-C0E8-4E15-86EA-65AFFCA782E9}" name="Location" dataDxfId="2"/>
    <tableColumn id="8" xr3:uid="{61519ECB-C4E3-497C-B1E4-D8E6A7A67DC1}" name="Unit_Cost" dataDxfId="1"/>
    <tableColumn id="9" xr3:uid="{1998185E-998E-4EDB-AEEA-F910CD4342CA}" name="Total_Sal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95129-61B0-4058-B20E-091182F351DF}">
  <dimension ref="A1:L32"/>
  <sheetViews>
    <sheetView tabSelected="1" topLeftCell="G1" zoomScale="109" workbookViewId="0">
      <selection activeCell="K51" sqref="K51"/>
    </sheetView>
  </sheetViews>
  <sheetFormatPr defaultRowHeight="14.4" x14ac:dyDescent="0.3"/>
  <cols>
    <col min="1" max="1" width="13.21875" bestFit="1" customWidth="1"/>
    <col min="2" max="2" width="25.5546875" bestFit="1" customWidth="1"/>
    <col min="5" max="5" width="13.21875" bestFit="1" customWidth="1"/>
    <col min="6" max="6" width="25.5546875" bestFit="1" customWidth="1"/>
    <col min="8" max="9" width="25.5546875" bestFit="1" customWidth="1"/>
    <col min="11" max="11" width="12.44140625" bestFit="1" customWidth="1"/>
    <col min="12" max="12" width="24.33203125" bestFit="1" customWidth="1"/>
  </cols>
  <sheetData>
    <row r="1" spans="1:12" x14ac:dyDescent="0.3">
      <c r="A1" s="3" t="s">
        <v>218</v>
      </c>
      <c r="B1" t="s">
        <v>220</v>
      </c>
      <c r="D1" s="5"/>
      <c r="E1" s="3" t="s">
        <v>218</v>
      </c>
      <c r="F1" t="s">
        <v>220</v>
      </c>
      <c r="H1" s="3" t="s">
        <v>218</v>
      </c>
      <c r="I1" t="s">
        <v>220</v>
      </c>
      <c r="K1" s="3" t="s">
        <v>218</v>
      </c>
      <c r="L1" t="s">
        <v>221</v>
      </c>
    </row>
    <row r="2" spans="1:12" x14ac:dyDescent="0.3">
      <c r="A2" s="4" t="s">
        <v>63</v>
      </c>
      <c r="B2" s="8">
        <v>161</v>
      </c>
      <c r="E2" s="4" t="s">
        <v>63</v>
      </c>
      <c r="F2" s="8">
        <v>161</v>
      </c>
      <c r="H2" s="4" t="s">
        <v>23</v>
      </c>
      <c r="I2" s="8">
        <v>4325</v>
      </c>
      <c r="K2" s="4" t="s">
        <v>23</v>
      </c>
      <c r="L2" s="8">
        <v>62229</v>
      </c>
    </row>
    <row r="3" spans="1:12" x14ac:dyDescent="0.3">
      <c r="A3" s="4" t="s">
        <v>49</v>
      </c>
      <c r="B3" s="8">
        <v>1013</v>
      </c>
      <c r="E3" s="4" t="s">
        <v>49</v>
      </c>
      <c r="F3" s="8">
        <v>1013</v>
      </c>
      <c r="H3" s="4" t="s">
        <v>26</v>
      </c>
      <c r="I3" s="8">
        <v>3759</v>
      </c>
      <c r="K3" s="4" t="s">
        <v>26</v>
      </c>
      <c r="L3" s="8">
        <v>89091</v>
      </c>
    </row>
    <row r="4" spans="1:12" x14ac:dyDescent="0.3">
      <c r="A4" s="4" t="s">
        <v>70</v>
      </c>
      <c r="B4" s="8">
        <v>573</v>
      </c>
      <c r="E4" s="4" t="s">
        <v>70</v>
      </c>
      <c r="F4" s="8">
        <v>573</v>
      </c>
      <c r="H4" s="4" t="s">
        <v>29</v>
      </c>
      <c r="I4" s="8">
        <v>2851</v>
      </c>
      <c r="K4" s="4" t="s">
        <v>29</v>
      </c>
      <c r="L4" s="8">
        <v>75777</v>
      </c>
    </row>
    <row r="5" spans="1:12" x14ac:dyDescent="0.3">
      <c r="A5" s="4" t="s">
        <v>45</v>
      </c>
      <c r="B5" s="8">
        <v>318</v>
      </c>
      <c r="E5" s="4" t="s">
        <v>45</v>
      </c>
      <c r="F5" s="8">
        <v>318</v>
      </c>
      <c r="H5" s="4" t="s">
        <v>11</v>
      </c>
      <c r="I5" s="8">
        <v>3081</v>
      </c>
      <c r="K5" s="4" t="s">
        <v>11</v>
      </c>
      <c r="L5" s="8">
        <v>31168</v>
      </c>
    </row>
    <row r="6" spans="1:12" x14ac:dyDescent="0.3">
      <c r="A6" s="4" t="s">
        <v>68</v>
      </c>
      <c r="B6" s="8">
        <v>1308</v>
      </c>
      <c r="E6" s="4" t="s">
        <v>68</v>
      </c>
      <c r="F6" s="8">
        <v>1308</v>
      </c>
      <c r="H6" s="4" t="s">
        <v>13</v>
      </c>
      <c r="I6" s="8">
        <v>2488</v>
      </c>
      <c r="K6" s="4" t="s">
        <v>13</v>
      </c>
      <c r="L6" s="8">
        <v>40550</v>
      </c>
    </row>
    <row r="7" spans="1:12" x14ac:dyDescent="0.3">
      <c r="A7" s="4" t="s">
        <v>65</v>
      </c>
      <c r="B7" s="8">
        <v>1179</v>
      </c>
      <c r="E7" s="4" t="s">
        <v>65</v>
      </c>
      <c r="F7" s="8">
        <v>1179</v>
      </c>
      <c r="H7" s="4" t="s">
        <v>15</v>
      </c>
      <c r="I7" s="8">
        <v>1748</v>
      </c>
      <c r="K7" s="4" t="s">
        <v>15</v>
      </c>
      <c r="L7" s="8">
        <v>41767</v>
      </c>
    </row>
    <row r="8" spans="1:12" x14ac:dyDescent="0.3">
      <c r="A8" s="4" t="s">
        <v>43</v>
      </c>
      <c r="B8" s="8">
        <v>207</v>
      </c>
      <c r="E8" s="4" t="s">
        <v>43</v>
      </c>
      <c r="F8" s="8">
        <v>207</v>
      </c>
      <c r="H8" s="4" t="s">
        <v>219</v>
      </c>
      <c r="I8" s="8">
        <v>18252</v>
      </c>
      <c r="K8" s="4" t="s">
        <v>219</v>
      </c>
      <c r="L8" s="8">
        <v>340582</v>
      </c>
    </row>
    <row r="9" spans="1:12" x14ac:dyDescent="0.3">
      <c r="A9" s="4" t="s">
        <v>40</v>
      </c>
      <c r="B9" s="8">
        <v>987</v>
      </c>
      <c r="E9" s="4" t="s">
        <v>40</v>
      </c>
      <c r="F9" s="8">
        <v>987</v>
      </c>
    </row>
    <row r="10" spans="1:12" x14ac:dyDescent="0.3">
      <c r="A10" s="4" t="s">
        <v>51</v>
      </c>
      <c r="B10" s="8">
        <v>1541</v>
      </c>
      <c r="E10" s="4" t="s">
        <v>51</v>
      </c>
      <c r="F10" s="8">
        <v>1541</v>
      </c>
    </row>
    <row r="11" spans="1:12" x14ac:dyDescent="0.3">
      <c r="A11" s="4" t="s">
        <v>16</v>
      </c>
      <c r="B11" s="8">
        <v>583</v>
      </c>
      <c r="E11" s="4" t="s">
        <v>16</v>
      </c>
      <c r="F11" s="8">
        <v>583</v>
      </c>
    </row>
    <row r="12" spans="1:12" x14ac:dyDescent="0.3">
      <c r="A12" s="4" t="s">
        <v>10</v>
      </c>
      <c r="B12" s="8">
        <v>810</v>
      </c>
      <c r="E12" s="4" t="s">
        <v>10</v>
      </c>
      <c r="F12" s="8">
        <v>810</v>
      </c>
      <c r="H12" t="s">
        <v>222</v>
      </c>
      <c r="J12" s="6" t="s">
        <v>224</v>
      </c>
      <c r="K12" s="6" t="s">
        <v>225</v>
      </c>
    </row>
    <row r="13" spans="1:12" x14ac:dyDescent="0.3">
      <c r="A13" s="4" t="s">
        <v>25</v>
      </c>
      <c r="B13" s="8">
        <v>239</v>
      </c>
      <c r="E13" s="4" t="s">
        <v>25</v>
      </c>
      <c r="F13" s="8">
        <v>239</v>
      </c>
      <c r="H13" s="8">
        <v>5501</v>
      </c>
      <c r="J13" t="s">
        <v>226</v>
      </c>
      <c r="K13">
        <f>GETPIVOTDATA("Content.Bal_in_Stock",$H$18)</f>
        <v>18252</v>
      </c>
    </row>
    <row r="14" spans="1:12" x14ac:dyDescent="0.3">
      <c r="A14" s="4" t="s">
        <v>55</v>
      </c>
      <c r="B14" s="8">
        <v>487</v>
      </c>
      <c r="E14" s="4" t="s">
        <v>55</v>
      </c>
      <c r="F14" s="8">
        <v>487</v>
      </c>
      <c r="J14" t="s">
        <v>228</v>
      </c>
      <c r="K14">
        <f>GETPIVOTDATA("Content.Stock_In",$H$12)</f>
        <v>5501</v>
      </c>
    </row>
    <row r="15" spans="1:12" x14ac:dyDescent="0.3">
      <c r="A15" s="4" t="s">
        <v>72</v>
      </c>
      <c r="B15" s="8">
        <v>367</v>
      </c>
      <c r="E15" s="4" t="s">
        <v>72</v>
      </c>
      <c r="F15" s="8">
        <v>367</v>
      </c>
      <c r="H15" t="s">
        <v>223</v>
      </c>
      <c r="J15" t="s">
        <v>227</v>
      </c>
      <c r="K15">
        <f>GETPIVOTDATA("Content.Stock_Out",$H$15)</f>
        <v>4796</v>
      </c>
    </row>
    <row r="16" spans="1:12" x14ac:dyDescent="0.3">
      <c r="A16" s="4" t="s">
        <v>14</v>
      </c>
      <c r="B16" s="8">
        <v>522</v>
      </c>
      <c r="E16" s="4" t="s">
        <v>14</v>
      </c>
      <c r="F16" s="8">
        <v>522</v>
      </c>
      <c r="H16" s="8">
        <v>4796</v>
      </c>
    </row>
    <row r="17" spans="1:8" x14ac:dyDescent="0.3">
      <c r="A17" s="4" t="s">
        <v>12</v>
      </c>
      <c r="B17" s="8">
        <v>1020</v>
      </c>
      <c r="E17" s="4" t="s">
        <v>12</v>
      </c>
      <c r="F17" s="8">
        <v>1020</v>
      </c>
    </row>
    <row r="18" spans="1:8" x14ac:dyDescent="0.3">
      <c r="A18" s="4" t="s">
        <v>61</v>
      </c>
      <c r="B18" s="8">
        <v>259</v>
      </c>
      <c r="E18" s="4" t="s">
        <v>61</v>
      </c>
      <c r="F18" s="8">
        <v>259</v>
      </c>
      <c r="H18" t="s">
        <v>220</v>
      </c>
    </row>
    <row r="19" spans="1:8" x14ac:dyDescent="0.3">
      <c r="A19" s="4" t="s">
        <v>47</v>
      </c>
      <c r="B19" s="8">
        <v>1055</v>
      </c>
      <c r="E19" s="4" t="s">
        <v>47</v>
      </c>
      <c r="F19" s="8">
        <v>1055</v>
      </c>
      <c r="H19" s="8">
        <v>18252</v>
      </c>
    </row>
    <row r="20" spans="1:8" x14ac:dyDescent="0.3">
      <c r="A20" s="4" t="s">
        <v>31</v>
      </c>
      <c r="B20" s="8">
        <v>318</v>
      </c>
      <c r="E20" s="4" t="s">
        <v>31</v>
      </c>
      <c r="F20" s="8">
        <v>318</v>
      </c>
    </row>
    <row r="21" spans="1:8" x14ac:dyDescent="0.3">
      <c r="A21" s="4" t="s">
        <v>67</v>
      </c>
      <c r="B21" s="8">
        <v>92</v>
      </c>
      <c r="E21" s="4" t="s">
        <v>67</v>
      </c>
      <c r="F21" s="8">
        <v>92</v>
      </c>
    </row>
    <row r="22" spans="1:8" x14ac:dyDescent="0.3">
      <c r="A22" s="4" t="s">
        <v>41</v>
      </c>
      <c r="B22" s="8">
        <v>656</v>
      </c>
      <c r="E22" s="4" t="s">
        <v>41</v>
      </c>
      <c r="F22" s="8">
        <v>656</v>
      </c>
    </row>
    <row r="23" spans="1:8" x14ac:dyDescent="0.3">
      <c r="A23" s="4" t="s">
        <v>36</v>
      </c>
      <c r="B23" s="8">
        <v>393</v>
      </c>
      <c r="E23" s="4" t="s">
        <v>36</v>
      </c>
      <c r="F23" s="8">
        <v>393</v>
      </c>
    </row>
    <row r="24" spans="1:8" x14ac:dyDescent="0.3">
      <c r="A24" s="4" t="s">
        <v>59</v>
      </c>
      <c r="B24" s="8">
        <v>347</v>
      </c>
      <c r="E24" s="4" t="s">
        <v>59</v>
      </c>
      <c r="F24" s="8">
        <v>347</v>
      </c>
    </row>
    <row r="25" spans="1:8" x14ac:dyDescent="0.3">
      <c r="A25" s="4" t="s">
        <v>20</v>
      </c>
      <c r="B25" s="8">
        <v>731</v>
      </c>
      <c r="E25" s="4" t="s">
        <v>20</v>
      </c>
      <c r="F25" s="8">
        <v>731</v>
      </c>
    </row>
    <row r="26" spans="1:8" x14ac:dyDescent="0.3">
      <c r="A26" s="4" t="s">
        <v>38</v>
      </c>
      <c r="B26" s="8">
        <v>973</v>
      </c>
      <c r="E26" s="4" t="s">
        <v>38</v>
      </c>
      <c r="F26" s="8">
        <v>973</v>
      </c>
    </row>
    <row r="27" spans="1:8" x14ac:dyDescent="0.3">
      <c r="A27" s="4" t="s">
        <v>33</v>
      </c>
      <c r="B27" s="8">
        <v>382</v>
      </c>
      <c r="E27" s="4" t="s">
        <v>33</v>
      </c>
      <c r="F27" s="8">
        <v>382</v>
      </c>
    </row>
    <row r="28" spans="1:8" x14ac:dyDescent="0.3">
      <c r="A28" s="4" t="s">
        <v>57</v>
      </c>
      <c r="B28" s="8">
        <v>417</v>
      </c>
      <c r="E28" s="4" t="s">
        <v>57</v>
      </c>
      <c r="F28" s="8">
        <v>417</v>
      </c>
    </row>
    <row r="29" spans="1:8" x14ac:dyDescent="0.3">
      <c r="A29" s="4" t="s">
        <v>53</v>
      </c>
      <c r="B29" s="8">
        <v>592</v>
      </c>
      <c r="E29" s="4" t="s">
        <v>53</v>
      </c>
      <c r="F29" s="8">
        <v>592</v>
      </c>
    </row>
    <row r="30" spans="1:8" x14ac:dyDescent="0.3">
      <c r="A30" s="4" t="s">
        <v>74</v>
      </c>
      <c r="B30" s="8">
        <v>248</v>
      </c>
      <c r="E30" s="4" t="s">
        <v>74</v>
      </c>
      <c r="F30" s="8">
        <v>248</v>
      </c>
    </row>
    <row r="31" spans="1:8" x14ac:dyDescent="0.3">
      <c r="A31" s="4" t="s">
        <v>19</v>
      </c>
      <c r="B31" s="8">
        <v>474</v>
      </c>
      <c r="E31" s="4" t="s">
        <v>19</v>
      </c>
      <c r="F31" s="8">
        <v>474</v>
      </c>
    </row>
    <row r="32" spans="1:8" x14ac:dyDescent="0.3">
      <c r="A32" s="4" t="s">
        <v>219</v>
      </c>
      <c r="B32" s="8">
        <v>18252</v>
      </c>
      <c r="E32" s="4" t="s">
        <v>219</v>
      </c>
      <c r="F32" s="8">
        <v>18252</v>
      </c>
    </row>
  </sheetData>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6F4AA-C91E-490B-81A1-892CC29E56B0}">
  <dimension ref="AJ47"/>
  <sheetViews>
    <sheetView topLeftCell="O23" zoomScale="39" zoomScaleNormal="37" workbookViewId="0">
      <selection activeCell="BH50" sqref="BH50"/>
    </sheetView>
  </sheetViews>
  <sheetFormatPr defaultRowHeight="14.4" x14ac:dyDescent="0.3"/>
  <sheetData>
    <row r="47" spans="36:36" ht="31.2" x14ac:dyDescent="0.3">
      <c r="AJ47"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F9D0C-6C7B-4818-9CC5-CCAC0CDBF2F6}">
  <dimension ref="A1:I31"/>
  <sheetViews>
    <sheetView zoomScale="65" workbookViewId="0">
      <selection activeCell="N15" sqref="N15"/>
    </sheetView>
  </sheetViews>
  <sheetFormatPr defaultRowHeight="14.4" x14ac:dyDescent="0.3"/>
  <cols>
    <col min="1" max="9" width="19.109375" customWidth="1"/>
  </cols>
  <sheetData>
    <row r="1" spans="1:9" ht="15" customHeight="1" x14ac:dyDescent="0.3">
      <c r="A1" s="1" t="s">
        <v>0</v>
      </c>
      <c r="B1" s="1" t="s">
        <v>1</v>
      </c>
      <c r="C1" s="1" t="s">
        <v>2</v>
      </c>
      <c r="D1" s="1" t="s">
        <v>3</v>
      </c>
      <c r="E1" s="1" t="s">
        <v>4</v>
      </c>
      <c r="F1" s="1" t="s">
        <v>5</v>
      </c>
      <c r="G1" s="1" t="s">
        <v>6</v>
      </c>
      <c r="H1" s="1" t="s">
        <v>7</v>
      </c>
      <c r="I1" s="1" t="s">
        <v>8</v>
      </c>
    </row>
    <row r="2" spans="1:9" ht="15" customHeight="1" x14ac:dyDescent="0.3">
      <c r="A2" s="2" t="s">
        <v>21</v>
      </c>
      <c r="B2" s="2" t="s">
        <v>9</v>
      </c>
      <c r="C2" s="2" t="s">
        <v>10</v>
      </c>
      <c r="D2" s="2">
        <v>120</v>
      </c>
      <c r="E2" s="2">
        <v>40</v>
      </c>
      <c r="F2" s="2">
        <v>35</v>
      </c>
      <c r="G2" s="2" t="s">
        <v>11</v>
      </c>
      <c r="H2" s="2">
        <v>15</v>
      </c>
      <c r="I2" s="2">
        <v>525</v>
      </c>
    </row>
    <row r="3" spans="1:9" ht="15" customHeight="1" x14ac:dyDescent="0.3">
      <c r="A3" s="2"/>
      <c r="B3" s="2" t="s">
        <v>9</v>
      </c>
      <c r="C3" s="2" t="s">
        <v>12</v>
      </c>
      <c r="D3" s="2">
        <v>150</v>
      </c>
      <c r="E3" s="2">
        <v>60</v>
      </c>
      <c r="F3" s="2">
        <v>55</v>
      </c>
      <c r="G3" s="2" t="s">
        <v>13</v>
      </c>
      <c r="H3" s="2">
        <v>8</v>
      </c>
      <c r="I3" s="2">
        <v>440</v>
      </c>
    </row>
    <row r="4" spans="1:9" ht="15" customHeight="1" x14ac:dyDescent="0.3">
      <c r="A4" s="2" t="s">
        <v>22</v>
      </c>
      <c r="B4" s="2" t="s">
        <v>9</v>
      </c>
      <c r="C4" s="2" t="s">
        <v>14</v>
      </c>
      <c r="D4" s="2">
        <v>80</v>
      </c>
      <c r="E4" s="2">
        <v>25</v>
      </c>
      <c r="F4" s="2">
        <v>20</v>
      </c>
      <c r="G4" s="2" t="s">
        <v>23</v>
      </c>
      <c r="H4" s="2">
        <v>120</v>
      </c>
      <c r="I4" s="2">
        <v>2400</v>
      </c>
    </row>
    <row r="5" spans="1:9" ht="15" customHeight="1" x14ac:dyDescent="0.3">
      <c r="A5" s="2" t="s">
        <v>24</v>
      </c>
      <c r="B5" s="2" t="s">
        <v>9</v>
      </c>
      <c r="C5" s="2" t="s">
        <v>25</v>
      </c>
      <c r="D5" s="2">
        <v>45</v>
      </c>
      <c r="E5" s="2">
        <v>15</v>
      </c>
      <c r="F5" s="2">
        <v>10</v>
      </c>
      <c r="G5" s="2" t="s">
        <v>26</v>
      </c>
      <c r="H5" s="2">
        <v>550</v>
      </c>
      <c r="I5" s="2">
        <v>5500</v>
      </c>
    </row>
    <row r="6" spans="1:9" ht="15" customHeight="1" x14ac:dyDescent="0.3">
      <c r="A6" s="2" t="s">
        <v>27</v>
      </c>
      <c r="B6" s="2" t="s">
        <v>9</v>
      </c>
      <c r="C6" s="2" t="s">
        <v>16</v>
      </c>
      <c r="D6" s="2">
        <v>95</v>
      </c>
      <c r="E6" s="2">
        <v>30</v>
      </c>
      <c r="F6" s="2">
        <v>25</v>
      </c>
      <c r="G6" s="2" t="s">
        <v>15</v>
      </c>
      <c r="H6" s="2">
        <v>22</v>
      </c>
      <c r="I6" s="2">
        <v>550</v>
      </c>
    </row>
    <row r="7" spans="1:9" ht="15" customHeight="1" x14ac:dyDescent="0.3">
      <c r="A7" s="2" t="s">
        <v>28</v>
      </c>
      <c r="B7" s="2" t="s">
        <v>9</v>
      </c>
      <c r="C7" s="2"/>
      <c r="D7" s="2">
        <v>70</v>
      </c>
      <c r="E7" s="2">
        <v>20</v>
      </c>
      <c r="F7" s="2">
        <v>18</v>
      </c>
      <c r="G7" s="2" t="s">
        <v>29</v>
      </c>
      <c r="H7" s="2">
        <v>35</v>
      </c>
      <c r="I7" s="2">
        <v>630</v>
      </c>
    </row>
    <row r="8" spans="1:9" ht="15" customHeight="1" x14ac:dyDescent="0.3">
      <c r="A8" s="2" t="s">
        <v>30</v>
      </c>
      <c r="B8" s="2" t="s">
        <v>9</v>
      </c>
      <c r="C8" s="2" t="s">
        <v>31</v>
      </c>
      <c r="D8" s="2">
        <v>40</v>
      </c>
      <c r="E8" s="2">
        <v>12</v>
      </c>
      <c r="F8" s="2">
        <v>8</v>
      </c>
      <c r="G8" s="2" t="s">
        <v>11</v>
      </c>
      <c r="H8" s="2">
        <v>150</v>
      </c>
      <c r="I8" s="2">
        <v>1200</v>
      </c>
    </row>
    <row r="9" spans="1:9" ht="15" customHeight="1" x14ac:dyDescent="0.3">
      <c r="A9" s="2" t="s">
        <v>32</v>
      </c>
      <c r="B9" s="2" t="s">
        <v>9</v>
      </c>
      <c r="C9" s="2" t="s">
        <v>33</v>
      </c>
      <c r="D9" s="2">
        <v>60</v>
      </c>
      <c r="E9" s="2">
        <v>18</v>
      </c>
      <c r="F9" s="2">
        <v>15</v>
      </c>
      <c r="G9" s="2" t="s">
        <v>23</v>
      </c>
      <c r="H9" s="2">
        <v>300</v>
      </c>
      <c r="I9" s="2">
        <v>4500</v>
      </c>
    </row>
    <row r="10" spans="1:9" ht="15" customHeight="1" x14ac:dyDescent="0.3">
      <c r="A10" s="2" t="s">
        <v>34</v>
      </c>
      <c r="B10" s="2" t="s">
        <v>9</v>
      </c>
      <c r="C10" s="2" t="s">
        <v>20</v>
      </c>
      <c r="D10" s="2">
        <v>110</v>
      </c>
      <c r="E10" s="2">
        <v>35</v>
      </c>
      <c r="F10" s="2">
        <v>30</v>
      </c>
      <c r="G10" s="2" t="s">
        <v>26</v>
      </c>
      <c r="H10" s="2">
        <v>45</v>
      </c>
      <c r="I10" s="2">
        <v>1350</v>
      </c>
    </row>
    <row r="11" spans="1:9" ht="15" customHeight="1" x14ac:dyDescent="0.3">
      <c r="A11" s="2" t="s">
        <v>35</v>
      </c>
      <c r="B11" s="2" t="s">
        <v>9</v>
      </c>
      <c r="C11" s="2" t="s">
        <v>36</v>
      </c>
      <c r="D11" s="2">
        <v>85</v>
      </c>
      <c r="E11" s="2">
        <v>22</v>
      </c>
      <c r="F11" s="2">
        <v>20</v>
      </c>
      <c r="G11" s="2" t="s">
        <v>13</v>
      </c>
      <c r="H11" s="2">
        <v>60</v>
      </c>
      <c r="I11" s="2">
        <v>1200</v>
      </c>
    </row>
    <row r="12" spans="1:9" ht="15" customHeight="1" x14ac:dyDescent="0.3">
      <c r="A12" s="2" t="s">
        <v>37</v>
      </c>
      <c r="B12" s="2" t="s">
        <v>9</v>
      </c>
      <c r="C12" s="2" t="s">
        <v>38</v>
      </c>
      <c r="D12" s="2">
        <v>140</v>
      </c>
      <c r="E12" s="2">
        <v>50</v>
      </c>
      <c r="F12" s="2">
        <v>45</v>
      </c>
      <c r="G12" s="2" t="s">
        <v>15</v>
      </c>
      <c r="H12" s="2">
        <v>75</v>
      </c>
      <c r="I12" s="2">
        <v>3375</v>
      </c>
    </row>
    <row r="13" spans="1:9" ht="15" customHeight="1" x14ac:dyDescent="0.3">
      <c r="A13" s="2" t="s">
        <v>39</v>
      </c>
      <c r="B13" s="2" t="s">
        <v>9</v>
      </c>
      <c r="C13" s="2" t="s">
        <v>40</v>
      </c>
      <c r="D13" s="2">
        <v>130</v>
      </c>
      <c r="E13" s="2">
        <v>45</v>
      </c>
      <c r="F13" s="2">
        <v>40</v>
      </c>
      <c r="G13" s="2" t="s">
        <v>29</v>
      </c>
      <c r="H13" s="2">
        <v>65</v>
      </c>
      <c r="I13" s="2">
        <v>2600</v>
      </c>
    </row>
    <row r="14" spans="1:9" ht="15" customHeight="1" x14ac:dyDescent="0.3">
      <c r="A14" s="2"/>
      <c r="B14" s="2" t="s">
        <v>9</v>
      </c>
      <c r="C14" s="2" t="s">
        <v>41</v>
      </c>
      <c r="D14" s="2">
        <v>100</v>
      </c>
      <c r="E14" s="2">
        <v>30</v>
      </c>
      <c r="F14" s="2">
        <v>28</v>
      </c>
      <c r="G14" s="2" t="s">
        <v>23</v>
      </c>
      <c r="H14" s="2">
        <v>80</v>
      </c>
      <c r="I14" s="2">
        <v>2240</v>
      </c>
    </row>
    <row r="15" spans="1:9" ht="15" customHeight="1" x14ac:dyDescent="0.3">
      <c r="A15" s="2" t="s">
        <v>42</v>
      </c>
      <c r="B15" s="2" t="s">
        <v>9</v>
      </c>
      <c r="C15" s="2" t="s">
        <v>43</v>
      </c>
      <c r="D15" s="2">
        <v>35</v>
      </c>
      <c r="E15" s="2">
        <v>10</v>
      </c>
      <c r="F15" s="2">
        <v>7</v>
      </c>
      <c r="G15" s="2" t="s">
        <v>26</v>
      </c>
      <c r="H15" s="2">
        <v>700</v>
      </c>
      <c r="I15" s="2">
        <v>4900</v>
      </c>
    </row>
    <row r="16" spans="1:9" ht="15" customHeight="1" x14ac:dyDescent="0.3">
      <c r="A16" s="2" t="s">
        <v>44</v>
      </c>
      <c r="B16" s="2" t="s">
        <v>9</v>
      </c>
      <c r="C16" s="2" t="s">
        <v>45</v>
      </c>
      <c r="D16" s="2">
        <v>50</v>
      </c>
      <c r="E16" s="2">
        <v>14</v>
      </c>
      <c r="F16" s="2">
        <v>12</v>
      </c>
      <c r="G16" s="2" t="s">
        <v>11</v>
      </c>
      <c r="H16" s="2">
        <v>320</v>
      </c>
      <c r="I16" s="2">
        <v>3840</v>
      </c>
    </row>
    <row r="17" spans="1:9" ht="15" customHeight="1" x14ac:dyDescent="0.3">
      <c r="A17" s="2" t="s">
        <v>46</v>
      </c>
      <c r="B17" s="2" t="s">
        <v>9</v>
      </c>
      <c r="C17" s="2" t="s">
        <v>47</v>
      </c>
      <c r="D17" s="2">
        <v>160</v>
      </c>
      <c r="E17" s="2">
        <v>55</v>
      </c>
      <c r="F17" s="2">
        <v>50</v>
      </c>
      <c r="G17" s="2" t="s">
        <v>13</v>
      </c>
      <c r="H17" s="2">
        <v>20</v>
      </c>
      <c r="I17" s="2">
        <v>1000</v>
      </c>
    </row>
    <row r="18" spans="1:9" ht="15" customHeight="1" x14ac:dyDescent="0.3">
      <c r="A18" s="2" t="s">
        <v>48</v>
      </c>
      <c r="B18" s="2" t="s">
        <v>9</v>
      </c>
      <c r="C18" s="2"/>
      <c r="D18" s="2">
        <v>180</v>
      </c>
      <c r="E18" s="2">
        <v>70</v>
      </c>
      <c r="F18" s="2">
        <v>65</v>
      </c>
      <c r="G18" s="2" t="s">
        <v>29</v>
      </c>
      <c r="H18" s="2">
        <v>12</v>
      </c>
      <c r="I18" s="2">
        <v>780</v>
      </c>
    </row>
    <row r="19" spans="1:9" ht="15" customHeight="1" x14ac:dyDescent="0.3">
      <c r="A19" s="2" t="s">
        <v>50</v>
      </c>
      <c r="B19" s="2" t="s">
        <v>9</v>
      </c>
      <c r="C19" s="2" t="s">
        <v>51</v>
      </c>
      <c r="D19" s="2">
        <v>200</v>
      </c>
      <c r="E19" s="2">
        <v>80</v>
      </c>
      <c r="F19" s="2">
        <v>75</v>
      </c>
      <c r="G19" s="2" t="s">
        <v>23</v>
      </c>
      <c r="H19" s="2">
        <v>6</v>
      </c>
      <c r="I19" s="2">
        <v>450</v>
      </c>
    </row>
    <row r="20" spans="1:9" ht="15" customHeight="1" x14ac:dyDescent="0.3">
      <c r="A20" s="2" t="s">
        <v>52</v>
      </c>
      <c r="B20" s="2" t="s">
        <v>9</v>
      </c>
      <c r="C20" s="2" t="s">
        <v>53</v>
      </c>
      <c r="D20" s="2">
        <v>90</v>
      </c>
      <c r="E20" s="2">
        <v>28</v>
      </c>
      <c r="F20" s="2">
        <v>25</v>
      </c>
      <c r="G20" s="2" t="s">
        <v>26</v>
      </c>
      <c r="H20" s="2">
        <v>18</v>
      </c>
      <c r="I20" s="2">
        <v>450</v>
      </c>
    </row>
    <row r="21" spans="1:9" ht="15" customHeight="1" x14ac:dyDescent="0.3">
      <c r="A21" s="2" t="s">
        <v>54</v>
      </c>
      <c r="B21" s="2" t="s">
        <v>9</v>
      </c>
      <c r="C21" s="2" t="s">
        <v>55</v>
      </c>
      <c r="D21" s="2">
        <v>75</v>
      </c>
      <c r="E21" s="2">
        <v>20</v>
      </c>
      <c r="F21" s="2">
        <v>18</v>
      </c>
      <c r="G21" s="2" t="s">
        <v>15</v>
      </c>
      <c r="H21" s="2">
        <v>55</v>
      </c>
      <c r="I21" s="2">
        <v>990</v>
      </c>
    </row>
    <row r="22" spans="1:9" ht="15" customHeight="1" x14ac:dyDescent="0.3">
      <c r="A22" s="2" t="s">
        <v>56</v>
      </c>
      <c r="B22" s="2" t="s">
        <v>9</v>
      </c>
      <c r="C22" s="2" t="s">
        <v>57</v>
      </c>
      <c r="D22" s="2">
        <v>65</v>
      </c>
      <c r="E22" s="2">
        <v>18</v>
      </c>
      <c r="F22" s="2">
        <v>15</v>
      </c>
      <c r="G22" s="2" t="s">
        <v>11</v>
      </c>
      <c r="H22" s="2">
        <v>25</v>
      </c>
      <c r="I22" s="2">
        <v>375</v>
      </c>
    </row>
    <row r="23" spans="1:9" ht="15" customHeight="1" x14ac:dyDescent="0.3">
      <c r="A23" s="2" t="s">
        <v>58</v>
      </c>
      <c r="B23" s="2" t="s">
        <v>9</v>
      </c>
      <c r="C23" s="2" t="s">
        <v>59</v>
      </c>
      <c r="D23" s="2">
        <v>55</v>
      </c>
      <c r="E23" s="2">
        <v>16</v>
      </c>
      <c r="F23" s="2">
        <v>14</v>
      </c>
      <c r="G23" s="2" t="s">
        <v>29</v>
      </c>
      <c r="H23" s="2">
        <v>210</v>
      </c>
      <c r="I23" s="2">
        <v>2940</v>
      </c>
    </row>
    <row r="24" spans="1:9" ht="15" customHeight="1" x14ac:dyDescent="0.3">
      <c r="A24" s="2" t="s">
        <v>60</v>
      </c>
      <c r="B24" s="2" t="s">
        <v>9</v>
      </c>
      <c r="C24" s="2" t="s">
        <v>61</v>
      </c>
      <c r="D24" s="2">
        <v>48</v>
      </c>
      <c r="E24" s="2">
        <v>12</v>
      </c>
      <c r="F24" s="2">
        <v>10</v>
      </c>
      <c r="G24" s="2" t="s">
        <v>23</v>
      </c>
      <c r="H24" s="2">
        <v>650</v>
      </c>
      <c r="I24" s="2">
        <v>6500</v>
      </c>
    </row>
    <row r="25" spans="1:9" ht="15" customHeight="1" x14ac:dyDescent="0.3">
      <c r="A25" s="2" t="s">
        <v>62</v>
      </c>
      <c r="B25" s="2" t="s">
        <v>9</v>
      </c>
      <c r="C25" s="2" t="s">
        <v>63</v>
      </c>
      <c r="D25" s="2">
        <v>30</v>
      </c>
      <c r="E25" s="2">
        <v>8</v>
      </c>
      <c r="F25" s="2">
        <v>6</v>
      </c>
      <c r="G25" s="2" t="s">
        <v>26</v>
      </c>
      <c r="H25" s="2">
        <v>900</v>
      </c>
      <c r="I25" s="2">
        <v>5400</v>
      </c>
    </row>
    <row r="26" spans="1:9" ht="15" customHeight="1" x14ac:dyDescent="0.3">
      <c r="A26" s="2" t="s">
        <v>64</v>
      </c>
      <c r="B26" s="2" t="s">
        <v>9</v>
      </c>
      <c r="C26" s="2" t="s">
        <v>65</v>
      </c>
      <c r="D26" s="2">
        <v>170</v>
      </c>
      <c r="E26" s="2">
        <v>60</v>
      </c>
      <c r="F26" s="2">
        <v>55</v>
      </c>
      <c r="G26" s="2" t="s">
        <v>13</v>
      </c>
      <c r="H26" s="2">
        <v>14</v>
      </c>
      <c r="I26" s="2">
        <v>770</v>
      </c>
    </row>
    <row r="27" spans="1:9" ht="15" customHeight="1" x14ac:dyDescent="0.3">
      <c r="A27" s="2" t="s">
        <v>66</v>
      </c>
      <c r="B27" s="2" t="s">
        <v>9</v>
      </c>
      <c r="C27" s="2"/>
      <c r="D27" s="2">
        <v>25</v>
      </c>
      <c r="E27" s="2">
        <v>6</v>
      </c>
      <c r="F27" s="2">
        <v>5</v>
      </c>
      <c r="G27" s="2" t="s">
        <v>15</v>
      </c>
      <c r="H27" s="2">
        <v>480</v>
      </c>
      <c r="I27" s="2">
        <v>2400</v>
      </c>
    </row>
    <row r="28" spans="1:9" ht="15" customHeight="1" x14ac:dyDescent="0.3">
      <c r="A28" s="2"/>
      <c r="B28" s="2" t="s">
        <v>9</v>
      </c>
      <c r="C28" s="2" t="s">
        <v>68</v>
      </c>
      <c r="D28" s="2">
        <v>190</v>
      </c>
      <c r="E28" s="2">
        <v>75</v>
      </c>
      <c r="F28" s="2">
        <v>70</v>
      </c>
      <c r="G28" s="2" t="s">
        <v>29</v>
      </c>
      <c r="H28" s="2">
        <v>10</v>
      </c>
      <c r="I28" s="2">
        <v>700</v>
      </c>
    </row>
    <row r="29" spans="1:9" ht="15" customHeight="1" x14ac:dyDescent="0.3">
      <c r="A29" s="2" t="s">
        <v>69</v>
      </c>
      <c r="B29" s="2" t="s">
        <v>9</v>
      </c>
      <c r="C29" s="2" t="s">
        <v>70</v>
      </c>
      <c r="D29" s="2">
        <v>88</v>
      </c>
      <c r="E29" s="2">
        <v>24</v>
      </c>
      <c r="F29" s="2">
        <v>20</v>
      </c>
      <c r="G29" s="2" t="s">
        <v>26</v>
      </c>
      <c r="H29" s="2">
        <v>95</v>
      </c>
      <c r="I29" s="2">
        <v>1900</v>
      </c>
    </row>
    <row r="30" spans="1:9" ht="15" customHeight="1" x14ac:dyDescent="0.3">
      <c r="A30" s="2" t="s">
        <v>71</v>
      </c>
      <c r="B30" s="2" t="s">
        <v>9</v>
      </c>
      <c r="C30" s="2" t="s">
        <v>72</v>
      </c>
      <c r="D30" s="2">
        <v>77</v>
      </c>
      <c r="E30" s="2">
        <v>21</v>
      </c>
      <c r="F30" s="2">
        <v>19</v>
      </c>
      <c r="G30" s="2" t="s">
        <v>11</v>
      </c>
      <c r="H30" s="2">
        <v>85</v>
      </c>
      <c r="I30" s="2">
        <v>1615</v>
      </c>
    </row>
    <row r="31" spans="1:9" ht="15" customHeight="1" x14ac:dyDescent="0.3">
      <c r="A31" s="2" t="s">
        <v>73</v>
      </c>
      <c r="B31" s="2" t="s">
        <v>9</v>
      </c>
      <c r="C31" s="2" t="s">
        <v>74</v>
      </c>
      <c r="D31" s="2">
        <v>20</v>
      </c>
      <c r="E31" s="2">
        <v>5</v>
      </c>
      <c r="F31" s="2">
        <v>4</v>
      </c>
      <c r="G31" s="2" t="s">
        <v>23</v>
      </c>
      <c r="H31" s="2">
        <v>400</v>
      </c>
      <c r="I31" s="2">
        <v>1600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765D1-BC06-423F-85E4-98E61231594F}">
  <dimension ref="A1:I31"/>
  <sheetViews>
    <sheetView zoomScale="71" workbookViewId="0">
      <selection sqref="A1:I31"/>
    </sheetView>
  </sheetViews>
  <sheetFormatPr defaultRowHeight="14.4" x14ac:dyDescent="0.3"/>
  <cols>
    <col min="1" max="9" width="19.109375" customWidth="1"/>
  </cols>
  <sheetData>
    <row r="1" spans="1:9" ht="15" customHeight="1" x14ac:dyDescent="0.3">
      <c r="A1" s="1" t="s">
        <v>0</v>
      </c>
      <c r="B1" s="1" t="s">
        <v>1</v>
      </c>
      <c r="C1" s="1" t="s">
        <v>2</v>
      </c>
      <c r="D1" s="1" t="s">
        <v>3</v>
      </c>
      <c r="E1" s="1" t="s">
        <v>4</v>
      </c>
      <c r="F1" s="1" t="s">
        <v>5</v>
      </c>
      <c r="G1" s="1" t="s">
        <v>6</v>
      </c>
      <c r="H1" s="1" t="s">
        <v>7</v>
      </c>
      <c r="I1" s="1" t="s">
        <v>8</v>
      </c>
    </row>
    <row r="2" spans="1:9" ht="15" customHeight="1" x14ac:dyDescent="0.3">
      <c r="A2" s="2" t="s">
        <v>75</v>
      </c>
      <c r="B2" s="2" t="s">
        <v>17</v>
      </c>
      <c r="C2" s="2" t="s">
        <v>10</v>
      </c>
      <c r="D2" s="2">
        <v>115</v>
      </c>
      <c r="E2" s="2">
        <v>38</v>
      </c>
      <c r="F2" s="2">
        <v>32</v>
      </c>
      <c r="G2" s="2" t="s">
        <v>11</v>
      </c>
      <c r="H2" s="2">
        <v>15</v>
      </c>
      <c r="I2" s="2">
        <v>480</v>
      </c>
    </row>
    <row r="3" spans="1:9" ht="15" customHeight="1" x14ac:dyDescent="0.3">
      <c r="A3" s="2" t="s">
        <v>76</v>
      </c>
      <c r="B3" s="2" t="s">
        <v>17</v>
      </c>
      <c r="C3" s="2" t="s">
        <v>12</v>
      </c>
      <c r="D3" s="2">
        <v>145</v>
      </c>
      <c r="E3" s="2">
        <v>58</v>
      </c>
      <c r="F3" s="2">
        <v>52</v>
      </c>
      <c r="G3" s="2" t="s">
        <v>26</v>
      </c>
      <c r="H3" s="2">
        <v>8</v>
      </c>
      <c r="I3" s="2">
        <v>416</v>
      </c>
    </row>
    <row r="4" spans="1:9" ht="15" customHeight="1" x14ac:dyDescent="0.3">
      <c r="A4" s="2" t="s">
        <v>77</v>
      </c>
      <c r="B4" s="2" t="s">
        <v>17</v>
      </c>
      <c r="C4" s="2" t="s">
        <v>14</v>
      </c>
      <c r="D4" s="2">
        <v>78</v>
      </c>
      <c r="E4" s="2">
        <v>20</v>
      </c>
      <c r="F4" s="2">
        <v>18</v>
      </c>
      <c r="G4" s="2" t="s">
        <v>29</v>
      </c>
      <c r="H4" s="2">
        <v>120</v>
      </c>
      <c r="I4" s="2">
        <v>2160</v>
      </c>
    </row>
    <row r="5" spans="1:9" ht="15" customHeight="1" x14ac:dyDescent="0.3">
      <c r="A5" s="2" t="s">
        <v>78</v>
      </c>
      <c r="B5" s="2" t="s">
        <v>17</v>
      </c>
      <c r="C5" s="2" t="s">
        <v>25</v>
      </c>
      <c r="D5" s="2">
        <v>42</v>
      </c>
      <c r="E5" s="2">
        <v>12</v>
      </c>
      <c r="F5" s="2">
        <v>9</v>
      </c>
      <c r="G5" s="2" t="s">
        <v>13</v>
      </c>
      <c r="H5" s="2">
        <v>550</v>
      </c>
      <c r="I5" s="2">
        <v>4950</v>
      </c>
    </row>
    <row r="6" spans="1:9" ht="15" customHeight="1" x14ac:dyDescent="0.3">
      <c r="A6" s="2" t="s">
        <v>79</v>
      </c>
      <c r="B6" s="2" t="s">
        <v>17</v>
      </c>
      <c r="C6" s="2" t="s">
        <v>16</v>
      </c>
      <c r="D6" s="2">
        <v>90</v>
      </c>
      <c r="E6" s="2">
        <v>25</v>
      </c>
      <c r="F6" s="2">
        <v>20</v>
      </c>
      <c r="G6" s="2" t="s">
        <v>23</v>
      </c>
      <c r="H6" s="2">
        <v>22</v>
      </c>
      <c r="I6" s="2">
        <v>440</v>
      </c>
    </row>
    <row r="7" spans="1:9" ht="15" customHeight="1" x14ac:dyDescent="0.3">
      <c r="A7" s="2"/>
      <c r="B7" s="2" t="s">
        <v>17</v>
      </c>
      <c r="C7" s="2" t="s">
        <v>19</v>
      </c>
      <c r="D7" s="2">
        <v>68</v>
      </c>
      <c r="E7" s="2">
        <v>18</v>
      </c>
      <c r="F7" s="2">
        <v>16</v>
      </c>
      <c r="G7" s="2" t="s">
        <v>15</v>
      </c>
      <c r="H7" s="2">
        <v>35</v>
      </c>
      <c r="I7" s="2">
        <v>560</v>
      </c>
    </row>
    <row r="8" spans="1:9" ht="15" customHeight="1" x14ac:dyDescent="0.3">
      <c r="A8" s="2" t="s">
        <v>80</v>
      </c>
      <c r="B8" s="2" t="s">
        <v>17</v>
      </c>
      <c r="C8" s="2" t="s">
        <v>31</v>
      </c>
      <c r="D8" s="2">
        <v>38</v>
      </c>
      <c r="E8" s="2">
        <v>10</v>
      </c>
      <c r="F8" s="2">
        <v>7</v>
      </c>
      <c r="G8" s="2" t="s">
        <v>26</v>
      </c>
      <c r="H8" s="2">
        <v>150</v>
      </c>
      <c r="I8" s="2">
        <v>1050</v>
      </c>
    </row>
    <row r="9" spans="1:9" ht="15" customHeight="1" x14ac:dyDescent="0.3">
      <c r="A9" s="2" t="s">
        <v>81</v>
      </c>
      <c r="B9" s="2" t="s">
        <v>17</v>
      </c>
      <c r="C9" s="2" t="s">
        <v>33</v>
      </c>
      <c r="D9" s="2">
        <v>58</v>
      </c>
      <c r="E9" s="2">
        <v>15</v>
      </c>
      <c r="F9" s="2">
        <v>13</v>
      </c>
      <c r="G9" s="2" t="s">
        <v>29</v>
      </c>
      <c r="H9" s="2">
        <v>300</v>
      </c>
      <c r="I9" s="2">
        <v>3900</v>
      </c>
    </row>
    <row r="10" spans="1:9" ht="15" customHeight="1" x14ac:dyDescent="0.3">
      <c r="A10" s="2" t="s">
        <v>82</v>
      </c>
      <c r="B10" s="2" t="s">
        <v>17</v>
      </c>
      <c r="C10" s="2" t="s">
        <v>20</v>
      </c>
      <c r="D10" s="2">
        <v>108</v>
      </c>
      <c r="E10" s="2">
        <v>32</v>
      </c>
      <c r="F10" s="2">
        <v>28</v>
      </c>
      <c r="G10" s="2" t="s">
        <v>11</v>
      </c>
      <c r="H10" s="2">
        <v>45</v>
      </c>
      <c r="I10" s="2">
        <v>1260</v>
      </c>
    </row>
    <row r="11" spans="1:9" ht="15" customHeight="1" x14ac:dyDescent="0.3">
      <c r="A11" s="2" t="s">
        <v>83</v>
      </c>
      <c r="B11" s="2" t="s">
        <v>17</v>
      </c>
      <c r="C11" s="2"/>
      <c r="D11" s="2">
        <v>82</v>
      </c>
      <c r="E11" s="2">
        <v>20</v>
      </c>
      <c r="F11" s="2">
        <v>18</v>
      </c>
      <c r="G11" s="2" t="s">
        <v>13</v>
      </c>
      <c r="H11" s="2">
        <v>60</v>
      </c>
      <c r="I11" s="2">
        <v>1080</v>
      </c>
    </row>
    <row r="12" spans="1:9" ht="15" customHeight="1" x14ac:dyDescent="0.3">
      <c r="A12" s="2" t="s">
        <v>84</v>
      </c>
      <c r="B12" s="2" t="s">
        <v>17</v>
      </c>
      <c r="C12" s="2" t="s">
        <v>38</v>
      </c>
      <c r="D12" s="2">
        <v>138</v>
      </c>
      <c r="E12" s="2">
        <v>48</v>
      </c>
      <c r="F12" s="2">
        <v>42</v>
      </c>
      <c r="G12" s="2" t="s">
        <v>23</v>
      </c>
      <c r="H12" s="2">
        <v>75</v>
      </c>
      <c r="I12" s="2">
        <v>3150</v>
      </c>
    </row>
    <row r="13" spans="1:9" ht="15" customHeight="1" x14ac:dyDescent="0.3">
      <c r="A13" s="2" t="s">
        <v>85</v>
      </c>
      <c r="B13" s="2" t="s">
        <v>17</v>
      </c>
      <c r="C13" s="2" t="s">
        <v>40</v>
      </c>
      <c r="D13" s="2">
        <v>125</v>
      </c>
      <c r="E13" s="2">
        <v>40</v>
      </c>
      <c r="F13" s="2">
        <v>35</v>
      </c>
      <c r="G13" s="2" t="s">
        <v>26</v>
      </c>
      <c r="H13" s="2">
        <v>65</v>
      </c>
      <c r="I13" s="2">
        <v>2275</v>
      </c>
    </row>
    <row r="14" spans="1:9" ht="15" customHeight="1" x14ac:dyDescent="0.3">
      <c r="A14" s="2" t="s">
        <v>86</v>
      </c>
      <c r="B14" s="2" t="s">
        <v>17</v>
      </c>
      <c r="C14" s="2" t="s">
        <v>41</v>
      </c>
      <c r="D14" s="2">
        <v>96</v>
      </c>
      <c r="E14" s="2">
        <v>28</v>
      </c>
      <c r="F14" s="2">
        <v>24</v>
      </c>
      <c r="G14" s="2" t="s">
        <v>15</v>
      </c>
      <c r="H14" s="2">
        <v>80</v>
      </c>
      <c r="I14" s="2">
        <v>1920</v>
      </c>
    </row>
    <row r="15" spans="1:9" ht="15" customHeight="1" x14ac:dyDescent="0.3">
      <c r="A15" s="2" t="s">
        <v>87</v>
      </c>
      <c r="B15" s="2" t="s">
        <v>17</v>
      </c>
      <c r="C15" s="2" t="s">
        <v>43</v>
      </c>
      <c r="D15" s="2">
        <v>32</v>
      </c>
      <c r="E15" s="2">
        <v>9</v>
      </c>
      <c r="F15" s="2">
        <v>6</v>
      </c>
      <c r="G15" s="2" t="s">
        <v>29</v>
      </c>
      <c r="H15" s="2">
        <v>700</v>
      </c>
      <c r="I15" s="2">
        <v>4200</v>
      </c>
    </row>
    <row r="16" spans="1:9" ht="15" customHeight="1" x14ac:dyDescent="0.3">
      <c r="A16" s="2" t="s">
        <v>88</v>
      </c>
      <c r="B16" s="2" t="s">
        <v>17</v>
      </c>
      <c r="C16" s="2" t="s">
        <v>45</v>
      </c>
      <c r="D16" s="2">
        <v>48</v>
      </c>
      <c r="E16" s="2">
        <v>13</v>
      </c>
      <c r="F16" s="2">
        <v>11</v>
      </c>
      <c r="G16" s="2" t="s">
        <v>23</v>
      </c>
      <c r="H16" s="2">
        <v>320</v>
      </c>
      <c r="I16" s="2">
        <v>3520</v>
      </c>
    </row>
    <row r="17" spans="1:9" ht="15" customHeight="1" x14ac:dyDescent="0.3">
      <c r="A17" s="2"/>
      <c r="B17" s="2" t="s">
        <v>17</v>
      </c>
      <c r="C17" s="2" t="s">
        <v>47</v>
      </c>
      <c r="D17" s="2">
        <v>155</v>
      </c>
      <c r="E17" s="2">
        <v>50</v>
      </c>
      <c r="F17" s="2">
        <v>46</v>
      </c>
      <c r="G17" s="2" t="s">
        <v>11</v>
      </c>
      <c r="H17" s="2">
        <v>20</v>
      </c>
      <c r="I17" s="2">
        <v>920</v>
      </c>
    </row>
    <row r="18" spans="1:9" ht="15" customHeight="1" x14ac:dyDescent="0.3">
      <c r="A18" s="2" t="s">
        <v>89</v>
      </c>
      <c r="B18" s="2" t="s">
        <v>17</v>
      </c>
      <c r="C18" s="2" t="s">
        <v>49</v>
      </c>
      <c r="D18" s="2">
        <v>175</v>
      </c>
      <c r="E18" s="2">
        <v>65</v>
      </c>
      <c r="F18" s="2">
        <v>60</v>
      </c>
      <c r="G18" s="2" t="s">
        <v>13</v>
      </c>
      <c r="H18" s="2">
        <v>12</v>
      </c>
      <c r="I18" s="2">
        <v>720</v>
      </c>
    </row>
    <row r="19" spans="1:9" ht="15" customHeight="1" x14ac:dyDescent="0.3">
      <c r="A19" s="2" t="s">
        <v>90</v>
      </c>
      <c r="B19" s="2" t="s">
        <v>17</v>
      </c>
      <c r="C19" s="2" t="s">
        <v>51</v>
      </c>
      <c r="D19" s="2">
        <v>198</v>
      </c>
      <c r="E19" s="2">
        <v>75</v>
      </c>
      <c r="F19" s="2">
        <v>70</v>
      </c>
      <c r="G19" s="2" t="s">
        <v>26</v>
      </c>
      <c r="H19" s="2">
        <v>6</v>
      </c>
      <c r="I19" s="2">
        <v>420</v>
      </c>
    </row>
    <row r="20" spans="1:9" ht="15" customHeight="1" x14ac:dyDescent="0.3">
      <c r="A20" s="2" t="s">
        <v>91</v>
      </c>
      <c r="B20" s="2" t="s">
        <v>17</v>
      </c>
      <c r="C20" s="2" t="s">
        <v>53</v>
      </c>
      <c r="D20" s="2">
        <v>88</v>
      </c>
      <c r="E20" s="2">
        <v>25</v>
      </c>
      <c r="F20" s="2">
        <v>22</v>
      </c>
      <c r="G20" s="2" t="s">
        <v>29</v>
      </c>
      <c r="H20" s="2">
        <v>18</v>
      </c>
      <c r="I20" s="2">
        <v>396</v>
      </c>
    </row>
    <row r="21" spans="1:9" ht="15" customHeight="1" x14ac:dyDescent="0.3">
      <c r="A21" s="2" t="s">
        <v>92</v>
      </c>
      <c r="B21" s="2" t="s">
        <v>17</v>
      </c>
      <c r="C21" s="2" t="s">
        <v>55</v>
      </c>
      <c r="D21" s="2">
        <v>73</v>
      </c>
      <c r="E21" s="2">
        <v>18</v>
      </c>
      <c r="F21" s="2">
        <v>15</v>
      </c>
      <c r="G21" s="2" t="s">
        <v>15</v>
      </c>
      <c r="H21" s="2">
        <v>55</v>
      </c>
      <c r="I21" s="2">
        <v>825</v>
      </c>
    </row>
    <row r="22" spans="1:9" ht="15" customHeight="1" x14ac:dyDescent="0.3">
      <c r="A22" s="2" t="s">
        <v>93</v>
      </c>
      <c r="B22" s="2" t="s">
        <v>17</v>
      </c>
      <c r="C22" s="2" t="s">
        <v>57</v>
      </c>
      <c r="D22" s="2">
        <v>62</v>
      </c>
      <c r="E22" s="2">
        <v>15</v>
      </c>
      <c r="F22" s="2">
        <v>12</v>
      </c>
      <c r="G22" s="2" t="s">
        <v>11</v>
      </c>
      <c r="H22" s="2">
        <v>25</v>
      </c>
      <c r="I22" s="2">
        <v>300</v>
      </c>
    </row>
    <row r="23" spans="1:9" ht="15" customHeight="1" x14ac:dyDescent="0.3">
      <c r="A23" s="2" t="s">
        <v>94</v>
      </c>
      <c r="B23" s="2" t="s">
        <v>17</v>
      </c>
      <c r="C23" s="2" t="s">
        <v>59</v>
      </c>
      <c r="D23" s="2">
        <v>52</v>
      </c>
      <c r="E23" s="2">
        <v>14</v>
      </c>
      <c r="F23" s="2">
        <v>12</v>
      </c>
      <c r="G23" s="2" t="s">
        <v>23</v>
      </c>
      <c r="H23" s="2">
        <v>210</v>
      </c>
      <c r="I23" s="2">
        <v>2520</v>
      </c>
    </row>
    <row r="24" spans="1:9" ht="15" customHeight="1" x14ac:dyDescent="0.3">
      <c r="A24" s="2" t="s">
        <v>95</v>
      </c>
      <c r="B24" s="2" t="s">
        <v>17</v>
      </c>
      <c r="C24" s="2" t="s">
        <v>61</v>
      </c>
      <c r="D24" s="2">
        <v>45</v>
      </c>
      <c r="E24" s="2">
        <v>10</v>
      </c>
      <c r="F24" s="2">
        <v>8</v>
      </c>
      <c r="G24" s="2" t="s">
        <v>26</v>
      </c>
      <c r="H24" s="2">
        <v>650</v>
      </c>
      <c r="I24" s="2">
        <v>5200</v>
      </c>
    </row>
    <row r="25" spans="1:9" ht="15" customHeight="1" x14ac:dyDescent="0.3">
      <c r="A25" s="2" t="s">
        <v>96</v>
      </c>
      <c r="B25" s="2" t="s">
        <v>17</v>
      </c>
      <c r="C25" s="2"/>
      <c r="D25" s="2">
        <v>28</v>
      </c>
      <c r="E25" s="2">
        <v>7</v>
      </c>
      <c r="F25" s="2">
        <v>5</v>
      </c>
      <c r="G25" s="2" t="s">
        <v>29</v>
      </c>
      <c r="H25" s="2">
        <v>900</v>
      </c>
      <c r="I25" s="2">
        <v>4500</v>
      </c>
    </row>
    <row r="26" spans="1:9" ht="15" customHeight="1" x14ac:dyDescent="0.3">
      <c r="A26" s="2" t="s">
        <v>97</v>
      </c>
      <c r="B26" s="2" t="s">
        <v>17</v>
      </c>
      <c r="C26" s="2" t="s">
        <v>65</v>
      </c>
      <c r="D26" s="2">
        <v>165</v>
      </c>
      <c r="E26" s="2">
        <v>55</v>
      </c>
      <c r="F26" s="2">
        <v>50</v>
      </c>
      <c r="G26" s="2" t="s">
        <v>13</v>
      </c>
      <c r="H26" s="2">
        <v>14</v>
      </c>
      <c r="I26" s="2">
        <v>700</v>
      </c>
    </row>
    <row r="27" spans="1:9" ht="15" customHeight="1" x14ac:dyDescent="0.3">
      <c r="A27" s="2" t="s">
        <v>98</v>
      </c>
      <c r="B27" s="2" t="s">
        <v>17</v>
      </c>
      <c r="C27" s="2" t="s">
        <v>67</v>
      </c>
      <c r="D27" s="2">
        <v>22</v>
      </c>
      <c r="E27" s="2">
        <v>5</v>
      </c>
      <c r="F27" s="2">
        <v>4</v>
      </c>
      <c r="G27" s="2" t="s">
        <v>15</v>
      </c>
      <c r="H27" s="2">
        <v>480</v>
      </c>
      <c r="I27" s="2">
        <v>1920</v>
      </c>
    </row>
    <row r="28" spans="1:9" ht="15" customHeight="1" x14ac:dyDescent="0.3">
      <c r="A28" s="2" t="s">
        <v>99</v>
      </c>
      <c r="B28" s="2" t="s">
        <v>17</v>
      </c>
      <c r="C28" s="2" t="s">
        <v>68</v>
      </c>
      <c r="D28" s="2">
        <v>185</v>
      </c>
      <c r="E28" s="2">
        <v>70</v>
      </c>
      <c r="F28" s="2">
        <v>65</v>
      </c>
      <c r="G28" s="2" t="s">
        <v>23</v>
      </c>
      <c r="H28" s="2">
        <v>10</v>
      </c>
      <c r="I28" s="2">
        <v>650</v>
      </c>
    </row>
    <row r="29" spans="1:9" ht="15" customHeight="1" x14ac:dyDescent="0.3">
      <c r="A29" s="2" t="s">
        <v>100</v>
      </c>
      <c r="B29" s="2" t="s">
        <v>17</v>
      </c>
      <c r="C29" s="2" t="s">
        <v>70</v>
      </c>
      <c r="D29" s="2">
        <v>85</v>
      </c>
      <c r="E29" s="2">
        <v>22</v>
      </c>
      <c r="F29" s="2">
        <v>19</v>
      </c>
      <c r="G29" s="2" t="s">
        <v>26</v>
      </c>
      <c r="H29" s="2">
        <v>95</v>
      </c>
      <c r="I29" s="2">
        <v>1805</v>
      </c>
    </row>
    <row r="30" spans="1:9" ht="15" customHeight="1" x14ac:dyDescent="0.3">
      <c r="A30" s="2"/>
      <c r="B30" s="2" t="s">
        <v>17</v>
      </c>
      <c r="C30" s="2" t="s">
        <v>72</v>
      </c>
      <c r="D30" s="2">
        <v>75</v>
      </c>
      <c r="E30" s="2">
        <v>19</v>
      </c>
      <c r="F30" s="2">
        <v>17</v>
      </c>
      <c r="G30" s="2" t="s">
        <v>11</v>
      </c>
      <c r="H30" s="2">
        <v>85</v>
      </c>
      <c r="I30" s="2">
        <v>1445</v>
      </c>
    </row>
    <row r="31" spans="1:9" ht="15" customHeight="1" x14ac:dyDescent="0.3">
      <c r="A31" s="2" t="s">
        <v>101</v>
      </c>
      <c r="B31" s="2" t="s">
        <v>17</v>
      </c>
      <c r="C31" s="2" t="s">
        <v>74</v>
      </c>
      <c r="D31" s="2">
        <v>18</v>
      </c>
      <c r="E31" s="2">
        <v>4</v>
      </c>
      <c r="F31" s="2">
        <v>3</v>
      </c>
      <c r="G31" s="2" t="s">
        <v>29</v>
      </c>
      <c r="H31" s="2">
        <v>400</v>
      </c>
      <c r="I31" s="2">
        <v>1200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74C9D-01AF-49B3-A988-68D13B41A52B}">
  <dimension ref="A1:I31"/>
  <sheetViews>
    <sheetView topLeftCell="A21" workbookViewId="0">
      <selection sqref="A1:I31"/>
    </sheetView>
  </sheetViews>
  <sheetFormatPr defaultRowHeight="14.4" x14ac:dyDescent="0.3"/>
  <cols>
    <col min="1" max="9" width="19.109375" customWidth="1"/>
  </cols>
  <sheetData>
    <row r="1" spans="1:9" ht="15" customHeight="1" x14ac:dyDescent="0.3">
      <c r="A1" s="1" t="s">
        <v>0</v>
      </c>
      <c r="B1" s="1" t="s">
        <v>1</v>
      </c>
      <c r="C1" s="1" t="s">
        <v>2</v>
      </c>
      <c r="D1" s="1" t="s">
        <v>3</v>
      </c>
      <c r="E1" s="1" t="s">
        <v>4</v>
      </c>
      <c r="F1" s="1" t="s">
        <v>5</v>
      </c>
      <c r="G1" s="1" t="s">
        <v>6</v>
      </c>
      <c r="H1" s="1" t="s">
        <v>7</v>
      </c>
      <c r="I1" s="1" t="s">
        <v>8</v>
      </c>
    </row>
    <row r="2" spans="1:9" ht="15" customHeight="1" x14ac:dyDescent="0.3">
      <c r="A2" s="2" t="s">
        <v>102</v>
      </c>
      <c r="B2" s="2" t="s">
        <v>103</v>
      </c>
      <c r="C2" s="2" t="s">
        <v>10</v>
      </c>
      <c r="D2" s="2">
        <v>118</v>
      </c>
      <c r="E2" s="2">
        <v>35</v>
      </c>
      <c r="F2" s="2">
        <v>30</v>
      </c>
      <c r="G2" s="2" t="s">
        <v>23</v>
      </c>
      <c r="H2" s="2">
        <v>15</v>
      </c>
      <c r="I2" s="2">
        <v>450</v>
      </c>
    </row>
    <row r="3" spans="1:9" ht="15" customHeight="1" x14ac:dyDescent="0.3">
      <c r="A3" s="2" t="s">
        <v>104</v>
      </c>
      <c r="B3" s="2" t="s">
        <v>103</v>
      </c>
      <c r="C3" s="2" t="s">
        <v>12</v>
      </c>
      <c r="D3" s="2">
        <v>148</v>
      </c>
      <c r="E3" s="2">
        <v>55</v>
      </c>
      <c r="F3" s="2">
        <v>50</v>
      </c>
      <c r="G3" s="2" t="s">
        <v>26</v>
      </c>
      <c r="H3" s="2">
        <v>8</v>
      </c>
      <c r="I3" s="2">
        <v>400</v>
      </c>
    </row>
    <row r="4" spans="1:9" ht="15" customHeight="1" x14ac:dyDescent="0.3">
      <c r="A4" s="2" t="s">
        <v>105</v>
      </c>
      <c r="B4" s="2" t="s">
        <v>103</v>
      </c>
      <c r="C4" s="2" t="s">
        <v>14</v>
      </c>
      <c r="D4" s="2">
        <v>75</v>
      </c>
      <c r="E4" s="2">
        <v>22</v>
      </c>
      <c r="F4" s="2">
        <v>19</v>
      </c>
      <c r="G4" s="2" t="s">
        <v>11</v>
      </c>
      <c r="H4" s="2">
        <v>120</v>
      </c>
      <c r="I4" s="2">
        <v>2280</v>
      </c>
    </row>
    <row r="5" spans="1:9" ht="15" customHeight="1" x14ac:dyDescent="0.3">
      <c r="A5" s="2"/>
      <c r="B5" s="2" t="s">
        <v>103</v>
      </c>
      <c r="C5" s="2" t="s">
        <v>25</v>
      </c>
      <c r="D5" s="2">
        <v>40</v>
      </c>
      <c r="E5" s="2">
        <v>11</v>
      </c>
      <c r="F5" s="2">
        <v>8</v>
      </c>
      <c r="G5" s="2" t="s">
        <v>13</v>
      </c>
      <c r="H5" s="2">
        <v>550</v>
      </c>
      <c r="I5" s="2">
        <v>4400</v>
      </c>
    </row>
    <row r="6" spans="1:9" ht="15" customHeight="1" x14ac:dyDescent="0.3">
      <c r="A6" s="2" t="s">
        <v>106</v>
      </c>
      <c r="B6" s="2" t="s">
        <v>103</v>
      </c>
      <c r="C6" s="2" t="s">
        <v>16</v>
      </c>
      <c r="D6" s="2">
        <v>92</v>
      </c>
      <c r="E6" s="2">
        <v>26</v>
      </c>
      <c r="F6" s="2">
        <v>21</v>
      </c>
      <c r="G6" s="2" t="s">
        <v>29</v>
      </c>
      <c r="H6" s="2">
        <v>22</v>
      </c>
      <c r="I6" s="2">
        <v>462</v>
      </c>
    </row>
    <row r="7" spans="1:9" ht="15" customHeight="1" x14ac:dyDescent="0.3">
      <c r="A7" s="2" t="s">
        <v>107</v>
      </c>
      <c r="B7" s="2" t="s">
        <v>103</v>
      </c>
      <c r="C7" s="2" t="s">
        <v>19</v>
      </c>
      <c r="D7" s="2">
        <v>66</v>
      </c>
      <c r="E7" s="2">
        <v>16</v>
      </c>
      <c r="F7" s="2">
        <v>14</v>
      </c>
      <c r="G7" s="2" t="s">
        <v>23</v>
      </c>
      <c r="H7" s="2">
        <v>35</v>
      </c>
      <c r="I7" s="2">
        <v>490</v>
      </c>
    </row>
    <row r="8" spans="1:9" ht="15" customHeight="1" x14ac:dyDescent="0.3">
      <c r="A8" s="2" t="s">
        <v>108</v>
      </c>
      <c r="B8" s="2" t="s">
        <v>103</v>
      </c>
      <c r="C8" s="2" t="s">
        <v>31</v>
      </c>
      <c r="D8" s="2">
        <v>36</v>
      </c>
      <c r="E8" s="2">
        <v>9</v>
      </c>
      <c r="F8" s="2">
        <v>6</v>
      </c>
      <c r="G8" s="2" t="s">
        <v>26</v>
      </c>
      <c r="H8" s="2">
        <v>150</v>
      </c>
      <c r="I8" s="2">
        <v>900</v>
      </c>
    </row>
    <row r="9" spans="1:9" ht="15" customHeight="1" x14ac:dyDescent="0.3">
      <c r="A9" s="2" t="s">
        <v>109</v>
      </c>
      <c r="B9" s="2" t="s">
        <v>103</v>
      </c>
      <c r="C9" s="2" t="s">
        <v>33</v>
      </c>
      <c r="D9" s="2">
        <v>55</v>
      </c>
      <c r="E9" s="2">
        <v>14</v>
      </c>
      <c r="F9" s="2">
        <v>12</v>
      </c>
      <c r="G9" s="2" t="s">
        <v>15</v>
      </c>
      <c r="H9" s="2">
        <v>300</v>
      </c>
      <c r="I9" s="2">
        <v>3600</v>
      </c>
    </row>
    <row r="10" spans="1:9" ht="15" customHeight="1" x14ac:dyDescent="0.3">
      <c r="A10" s="2" t="s">
        <v>110</v>
      </c>
      <c r="B10" s="2" t="s">
        <v>103</v>
      </c>
      <c r="C10" s="2" t="s">
        <v>20</v>
      </c>
      <c r="D10" s="2">
        <v>105</v>
      </c>
      <c r="E10" s="2">
        <v>30</v>
      </c>
      <c r="F10" s="2">
        <v>26</v>
      </c>
      <c r="G10" s="2" t="s">
        <v>11</v>
      </c>
      <c r="H10" s="2">
        <v>45</v>
      </c>
      <c r="I10" s="2">
        <v>1170</v>
      </c>
    </row>
    <row r="11" spans="1:9" ht="15" customHeight="1" x14ac:dyDescent="0.3">
      <c r="A11" s="2" t="s">
        <v>111</v>
      </c>
      <c r="B11" s="2" t="s">
        <v>103</v>
      </c>
      <c r="C11" s="2" t="s">
        <v>36</v>
      </c>
      <c r="D11" s="2">
        <v>80</v>
      </c>
      <c r="E11" s="2">
        <v>18</v>
      </c>
      <c r="F11" s="2">
        <v>16</v>
      </c>
      <c r="G11" s="2" t="s">
        <v>29</v>
      </c>
      <c r="H11" s="2">
        <v>60</v>
      </c>
      <c r="I11" s="2">
        <v>960</v>
      </c>
    </row>
    <row r="12" spans="1:9" ht="15" customHeight="1" x14ac:dyDescent="0.3">
      <c r="A12" s="2" t="s">
        <v>112</v>
      </c>
      <c r="B12" s="2" t="s">
        <v>103</v>
      </c>
      <c r="C12" s="2" t="s">
        <v>38</v>
      </c>
      <c r="D12" s="2">
        <v>135</v>
      </c>
      <c r="E12" s="2">
        <v>45</v>
      </c>
      <c r="F12" s="2">
        <v>40</v>
      </c>
      <c r="G12" s="2" t="s">
        <v>26</v>
      </c>
      <c r="H12" s="2">
        <v>75</v>
      </c>
      <c r="I12" s="2">
        <v>3000</v>
      </c>
    </row>
    <row r="13" spans="1:9" ht="15" customHeight="1" x14ac:dyDescent="0.3">
      <c r="A13" s="2" t="s">
        <v>113</v>
      </c>
      <c r="B13" s="2" t="s">
        <v>103</v>
      </c>
      <c r="C13" s="2" t="s">
        <v>40</v>
      </c>
      <c r="D13" s="2">
        <v>122</v>
      </c>
      <c r="E13" s="2">
        <v>38</v>
      </c>
      <c r="F13" s="2">
        <v>33</v>
      </c>
      <c r="G13" s="2" t="s">
        <v>23</v>
      </c>
      <c r="H13" s="2">
        <v>65</v>
      </c>
      <c r="I13" s="2">
        <v>2145</v>
      </c>
    </row>
    <row r="14" spans="1:9" ht="15" customHeight="1" x14ac:dyDescent="0.3">
      <c r="A14" s="2" t="s">
        <v>114</v>
      </c>
      <c r="B14" s="2" t="s">
        <v>103</v>
      </c>
      <c r="C14" s="2" t="s">
        <v>41</v>
      </c>
      <c r="D14" s="2">
        <v>94</v>
      </c>
      <c r="E14" s="2">
        <v>26</v>
      </c>
      <c r="F14" s="2">
        <v>22</v>
      </c>
      <c r="G14" s="2" t="s">
        <v>13</v>
      </c>
      <c r="H14" s="2">
        <v>80</v>
      </c>
      <c r="I14" s="2">
        <v>1760</v>
      </c>
    </row>
    <row r="15" spans="1:9" ht="15" customHeight="1" x14ac:dyDescent="0.3">
      <c r="A15" s="2" t="s">
        <v>115</v>
      </c>
      <c r="B15" s="2" t="s">
        <v>103</v>
      </c>
      <c r="C15" s="2" t="s">
        <v>43</v>
      </c>
      <c r="D15" s="2">
        <v>30</v>
      </c>
      <c r="E15" s="2">
        <v>8</v>
      </c>
      <c r="F15" s="2">
        <v>5</v>
      </c>
      <c r="G15" s="2" t="s">
        <v>26</v>
      </c>
      <c r="H15" s="2">
        <v>700</v>
      </c>
      <c r="I15" s="2">
        <v>3500</v>
      </c>
    </row>
    <row r="16" spans="1:9" ht="15" customHeight="1" x14ac:dyDescent="0.3">
      <c r="A16" s="2" t="s">
        <v>116</v>
      </c>
      <c r="B16" s="2" t="s">
        <v>103</v>
      </c>
      <c r="C16" s="2" t="s">
        <v>45</v>
      </c>
      <c r="D16" s="2">
        <v>46</v>
      </c>
      <c r="E16" s="2">
        <v>12</v>
      </c>
      <c r="F16" s="2">
        <v>10</v>
      </c>
      <c r="G16" s="2" t="s">
        <v>29</v>
      </c>
      <c r="H16" s="2">
        <v>320</v>
      </c>
      <c r="I16" s="2">
        <v>3200</v>
      </c>
    </row>
    <row r="17" spans="1:9" ht="15" customHeight="1" x14ac:dyDescent="0.3">
      <c r="A17" s="2" t="s">
        <v>117</v>
      </c>
      <c r="B17" s="2" t="s">
        <v>103</v>
      </c>
      <c r="C17" s="2" t="s">
        <v>47</v>
      </c>
      <c r="D17" s="2">
        <v>150</v>
      </c>
      <c r="E17" s="2">
        <v>48</v>
      </c>
      <c r="F17" s="2">
        <v>43</v>
      </c>
      <c r="G17" s="2" t="s">
        <v>15</v>
      </c>
      <c r="H17" s="2">
        <v>20</v>
      </c>
      <c r="I17" s="2">
        <v>860</v>
      </c>
    </row>
    <row r="18" spans="1:9" ht="15" customHeight="1" x14ac:dyDescent="0.3">
      <c r="A18" s="2" t="s">
        <v>118</v>
      </c>
      <c r="B18" s="2" t="s">
        <v>103</v>
      </c>
      <c r="C18" s="2" t="s">
        <v>49</v>
      </c>
      <c r="D18" s="2">
        <v>170</v>
      </c>
      <c r="E18" s="2">
        <v>60</v>
      </c>
      <c r="F18" s="2">
        <v>55</v>
      </c>
      <c r="G18" s="2" t="s">
        <v>11</v>
      </c>
      <c r="H18" s="2">
        <v>12</v>
      </c>
      <c r="I18" s="2">
        <v>660</v>
      </c>
    </row>
    <row r="19" spans="1:9" ht="15" customHeight="1" x14ac:dyDescent="0.3">
      <c r="A19" s="2" t="s">
        <v>119</v>
      </c>
      <c r="B19" s="2" t="s">
        <v>103</v>
      </c>
      <c r="C19" s="2" t="s">
        <v>51</v>
      </c>
      <c r="D19" s="2">
        <v>195</v>
      </c>
      <c r="E19" s="2">
        <v>70</v>
      </c>
      <c r="F19" s="2">
        <v>65</v>
      </c>
      <c r="G19" s="2" t="s">
        <v>23</v>
      </c>
      <c r="H19" s="2">
        <v>6</v>
      </c>
      <c r="I19" s="2">
        <v>390</v>
      </c>
    </row>
    <row r="20" spans="1:9" ht="15" customHeight="1" x14ac:dyDescent="0.3">
      <c r="A20" s="2" t="s">
        <v>120</v>
      </c>
      <c r="B20" s="2" t="s">
        <v>103</v>
      </c>
      <c r="C20" s="2" t="s">
        <v>53</v>
      </c>
      <c r="D20" s="2">
        <v>85</v>
      </c>
      <c r="E20" s="2">
        <v>24</v>
      </c>
      <c r="F20" s="2">
        <v>20</v>
      </c>
      <c r="G20" s="2" t="s">
        <v>26</v>
      </c>
      <c r="H20" s="2">
        <v>18</v>
      </c>
      <c r="I20" s="2">
        <v>360</v>
      </c>
    </row>
    <row r="21" spans="1:9" ht="15" customHeight="1" x14ac:dyDescent="0.3">
      <c r="A21" s="2" t="s">
        <v>121</v>
      </c>
      <c r="B21" s="2" t="s">
        <v>103</v>
      </c>
      <c r="C21" s="2" t="s">
        <v>55</v>
      </c>
      <c r="D21" s="2">
        <v>70</v>
      </c>
      <c r="E21" s="2">
        <v>17</v>
      </c>
      <c r="F21" s="2">
        <v>14</v>
      </c>
      <c r="G21" s="2" t="s">
        <v>29</v>
      </c>
      <c r="H21" s="2">
        <v>55</v>
      </c>
      <c r="I21" s="2">
        <v>770</v>
      </c>
    </row>
    <row r="22" spans="1:9" ht="15" customHeight="1" x14ac:dyDescent="0.3">
      <c r="A22" s="2" t="s">
        <v>122</v>
      </c>
      <c r="B22" s="2" t="s">
        <v>103</v>
      </c>
      <c r="C22" s="2" t="s">
        <v>57</v>
      </c>
      <c r="D22" s="2">
        <v>60</v>
      </c>
      <c r="E22" s="2">
        <v>14</v>
      </c>
      <c r="F22" s="2">
        <v>11</v>
      </c>
      <c r="G22" s="2" t="s">
        <v>13</v>
      </c>
      <c r="H22" s="2">
        <v>25</v>
      </c>
      <c r="I22" s="2">
        <v>275</v>
      </c>
    </row>
    <row r="23" spans="1:9" ht="15" customHeight="1" x14ac:dyDescent="0.3">
      <c r="A23" s="2" t="s">
        <v>123</v>
      </c>
      <c r="B23" s="2" t="s">
        <v>103</v>
      </c>
      <c r="C23" s="2" t="s">
        <v>59</v>
      </c>
      <c r="D23" s="2">
        <v>50</v>
      </c>
      <c r="E23" s="2">
        <v>13</v>
      </c>
      <c r="F23" s="2">
        <v>11</v>
      </c>
      <c r="G23" s="2" t="s">
        <v>23</v>
      </c>
      <c r="H23" s="2">
        <v>210</v>
      </c>
      <c r="I23" s="2">
        <v>2310</v>
      </c>
    </row>
    <row r="24" spans="1:9" ht="15" customHeight="1" x14ac:dyDescent="0.3">
      <c r="A24" s="2" t="s">
        <v>124</v>
      </c>
      <c r="B24" s="2" t="s">
        <v>103</v>
      </c>
      <c r="C24" s="2" t="s">
        <v>61</v>
      </c>
      <c r="D24" s="2">
        <v>43</v>
      </c>
      <c r="E24" s="2">
        <v>9</v>
      </c>
      <c r="F24" s="2">
        <v>7</v>
      </c>
      <c r="G24" s="2" t="s">
        <v>15</v>
      </c>
      <c r="H24" s="2">
        <v>650</v>
      </c>
      <c r="I24" s="2">
        <v>4550</v>
      </c>
    </row>
    <row r="25" spans="1:9" ht="15" customHeight="1" x14ac:dyDescent="0.3">
      <c r="A25" s="2" t="s">
        <v>125</v>
      </c>
      <c r="B25" s="2" t="s">
        <v>103</v>
      </c>
      <c r="C25" s="2" t="s">
        <v>63</v>
      </c>
      <c r="D25" s="2">
        <v>26</v>
      </c>
      <c r="E25" s="2">
        <v>6</v>
      </c>
      <c r="F25" s="2">
        <v>4</v>
      </c>
      <c r="G25" s="2" t="s">
        <v>26</v>
      </c>
      <c r="H25" s="2">
        <v>900</v>
      </c>
      <c r="I25" s="2">
        <v>3600</v>
      </c>
    </row>
    <row r="26" spans="1:9" ht="15" customHeight="1" x14ac:dyDescent="0.3">
      <c r="A26" s="2" t="s">
        <v>126</v>
      </c>
      <c r="B26" s="2" t="s">
        <v>103</v>
      </c>
      <c r="C26" s="2" t="s">
        <v>65</v>
      </c>
      <c r="D26" s="2">
        <v>160</v>
      </c>
      <c r="E26" s="2">
        <v>52</v>
      </c>
      <c r="F26" s="2">
        <v>47</v>
      </c>
      <c r="G26" s="2" t="s">
        <v>29</v>
      </c>
      <c r="H26" s="2">
        <v>14</v>
      </c>
      <c r="I26" s="2">
        <v>658</v>
      </c>
    </row>
    <row r="27" spans="1:9" ht="15" customHeight="1" x14ac:dyDescent="0.3">
      <c r="A27" s="2" t="s">
        <v>127</v>
      </c>
      <c r="B27" s="2" t="s">
        <v>103</v>
      </c>
      <c r="C27" s="2"/>
      <c r="D27" s="2">
        <v>20</v>
      </c>
      <c r="E27" s="2">
        <v>4</v>
      </c>
      <c r="F27" s="2">
        <v>3</v>
      </c>
      <c r="G27" s="2" t="s">
        <v>11</v>
      </c>
      <c r="H27" s="2">
        <v>480</v>
      </c>
      <c r="I27" s="2">
        <v>1440</v>
      </c>
    </row>
    <row r="28" spans="1:9" ht="15" customHeight="1" x14ac:dyDescent="0.3">
      <c r="A28" s="2" t="s">
        <v>128</v>
      </c>
      <c r="B28" s="2" t="s">
        <v>103</v>
      </c>
      <c r="C28" s="2" t="s">
        <v>68</v>
      </c>
      <c r="D28" s="2">
        <v>180</v>
      </c>
      <c r="E28" s="2">
        <v>65</v>
      </c>
      <c r="F28" s="2">
        <v>60</v>
      </c>
      <c r="G28" s="2" t="s">
        <v>23</v>
      </c>
      <c r="H28" s="2">
        <v>10</v>
      </c>
      <c r="I28" s="2">
        <v>600</v>
      </c>
    </row>
    <row r="29" spans="1:9" ht="15" customHeight="1" x14ac:dyDescent="0.3">
      <c r="A29" s="2" t="s">
        <v>129</v>
      </c>
      <c r="B29" s="2" t="s">
        <v>103</v>
      </c>
      <c r="C29" s="2" t="s">
        <v>70</v>
      </c>
      <c r="D29" s="2">
        <v>82</v>
      </c>
      <c r="E29" s="2">
        <v>20</v>
      </c>
      <c r="F29" s="2">
        <v>17</v>
      </c>
      <c r="G29" s="2" t="s">
        <v>26</v>
      </c>
      <c r="H29" s="2">
        <v>95</v>
      </c>
      <c r="I29" s="2">
        <v>1615</v>
      </c>
    </row>
    <row r="30" spans="1:9" ht="15" customHeight="1" x14ac:dyDescent="0.3">
      <c r="A30" s="2" t="s">
        <v>130</v>
      </c>
      <c r="B30" s="2" t="s">
        <v>103</v>
      </c>
      <c r="C30" s="2" t="s">
        <v>72</v>
      </c>
      <c r="D30" s="2">
        <v>72</v>
      </c>
      <c r="E30" s="2">
        <v>18</v>
      </c>
      <c r="F30" s="2">
        <v>15</v>
      </c>
      <c r="G30" s="2" t="s">
        <v>13</v>
      </c>
      <c r="H30" s="2">
        <v>85</v>
      </c>
      <c r="I30" s="2">
        <v>1275</v>
      </c>
    </row>
    <row r="31" spans="1:9" ht="15" customHeight="1" x14ac:dyDescent="0.3">
      <c r="A31" s="2" t="s">
        <v>131</v>
      </c>
      <c r="B31" s="2" t="s">
        <v>103</v>
      </c>
      <c r="C31" s="2" t="s">
        <v>74</v>
      </c>
      <c r="D31" s="2">
        <v>16</v>
      </c>
      <c r="E31" s="2">
        <v>3</v>
      </c>
      <c r="F31" s="2">
        <v>2</v>
      </c>
      <c r="G31" s="2" t="s">
        <v>29</v>
      </c>
      <c r="H31" s="2">
        <v>400</v>
      </c>
      <c r="I31" s="2">
        <v>800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DE8418-F0DD-4E02-B5AF-569BA809D73A}">
  <dimension ref="A1:I31"/>
  <sheetViews>
    <sheetView workbookViewId="0">
      <selection sqref="A1:I31"/>
    </sheetView>
  </sheetViews>
  <sheetFormatPr defaultRowHeight="14.4" x14ac:dyDescent="0.3"/>
  <cols>
    <col min="1" max="9" width="19.109375" customWidth="1"/>
  </cols>
  <sheetData>
    <row r="1" spans="1:9" ht="15" customHeight="1" x14ac:dyDescent="0.3">
      <c r="A1" s="1" t="s">
        <v>0</v>
      </c>
      <c r="B1" s="1" t="s">
        <v>1</v>
      </c>
      <c r="C1" s="1" t="s">
        <v>2</v>
      </c>
      <c r="D1" s="1" t="s">
        <v>3</v>
      </c>
      <c r="E1" s="1" t="s">
        <v>4</v>
      </c>
      <c r="F1" s="1" t="s">
        <v>5</v>
      </c>
      <c r="G1" s="1" t="s">
        <v>6</v>
      </c>
      <c r="H1" s="1" t="s">
        <v>7</v>
      </c>
      <c r="I1" s="1" t="s">
        <v>8</v>
      </c>
    </row>
    <row r="2" spans="1:9" ht="15" customHeight="1" x14ac:dyDescent="0.3">
      <c r="A2" s="2" t="s">
        <v>132</v>
      </c>
      <c r="B2" s="2" t="s">
        <v>133</v>
      </c>
      <c r="C2" s="2" t="s">
        <v>10</v>
      </c>
      <c r="D2" s="2">
        <v>116</v>
      </c>
      <c r="E2" s="2">
        <v>34</v>
      </c>
      <c r="F2" s="2">
        <v>29</v>
      </c>
      <c r="G2" s="2" t="s">
        <v>11</v>
      </c>
      <c r="H2" s="2">
        <v>15</v>
      </c>
      <c r="I2" s="2">
        <v>435</v>
      </c>
    </row>
    <row r="3" spans="1:9" ht="15" customHeight="1" x14ac:dyDescent="0.3">
      <c r="A3" s="2" t="s">
        <v>134</v>
      </c>
      <c r="B3" s="2" t="s">
        <v>133</v>
      </c>
      <c r="C3" s="2" t="s">
        <v>12</v>
      </c>
      <c r="D3" s="2">
        <v>146</v>
      </c>
      <c r="E3" s="2">
        <v>54</v>
      </c>
      <c r="F3" s="2">
        <v>48</v>
      </c>
      <c r="G3" s="2" t="s">
        <v>23</v>
      </c>
      <c r="H3" s="2">
        <v>8</v>
      </c>
      <c r="I3" s="2">
        <v>384</v>
      </c>
    </row>
    <row r="4" spans="1:9" ht="15" customHeight="1" x14ac:dyDescent="0.3">
      <c r="A4" s="2" t="s">
        <v>135</v>
      </c>
      <c r="B4" s="2" t="s">
        <v>133</v>
      </c>
      <c r="C4" s="2" t="s">
        <v>14</v>
      </c>
      <c r="D4" s="2">
        <v>73</v>
      </c>
      <c r="E4" s="2">
        <v>20</v>
      </c>
      <c r="F4" s="2">
        <v>17</v>
      </c>
      <c r="G4" s="2" t="s">
        <v>26</v>
      </c>
      <c r="H4" s="2">
        <v>120</v>
      </c>
      <c r="I4" s="2">
        <v>2040</v>
      </c>
    </row>
    <row r="5" spans="1:9" ht="15" customHeight="1" x14ac:dyDescent="0.3">
      <c r="A5" s="2" t="s">
        <v>136</v>
      </c>
      <c r="B5" s="2" t="s">
        <v>133</v>
      </c>
      <c r="C5" s="2"/>
      <c r="D5" s="2">
        <v>38</v>
      </c>
      <c r="E5" s="2">
        <v>10</v>
      </c>
      <c r="F5" s="2">
        <v>7</v>
      </c>
      <c r="G5" s="2" t="s">
        <v>29</v>
      </c>
      <c r="H5" s="2">
        <v>550</v>
      </c>
      <c r="I5" s="2">
        <v>3850</v>
      </c>
    </row>
    <row r="6" spans="1:9" ht="15" customHeight="1" x14ac:dyDescent="0.3">
      <c r="A6" s="2" t="s">
        <v>137</v>
      </c>
      <c r="B6" s="2" t="s">
        <v>133</v>
      </c>
      <c r="C6" s="2" t="s">
        <v>16</v>
      </c>
      <c r="D6" s="2">
        <v>90</v>
      </c>
      <c r="E6" s="2">
        <v>24</v>
      </c>
      <c r="F6" s="2">
        <v>20</v>
      </c>
      <c r="G6" s="2" t="s">
        <v>15</v>
      </c>
      <c r="H6" s="2">
        <v>22</v>
      </c>
      <c r="I6" s="2">
        <v>440</v>
      </c>
    </row>
    <row r="7" spans="1:9" ht="15" customHeight="1" x14ac:dyDescent="0.3">
      <c r="A7" s="2" t="s">
        <v>138</v>
      </c>
      <c r="B7" s="2" t="s">
        <v>133</v>
      </c>
      <c r="C7" s="2" t="s">
        <v>19</v>
      </c>
      <c r="D7" s="2">
        <v>64</v>
      </c>
      <c r="E7" s="2">
        <v>15</v>
      </c>
      <c r="F7" s="2">
        <v>13</v>
      </c>
      <c r="G7" s="2" t="s">
        <v>13</v>
      </c>
      <c r="H7" s="2">
        <v>35</v>
      </c>
      <c r="I7" s="2">
        <v>455</v>
      </c>
    </row>
    <row r="8" spans="1:9" ht="15" customHeight="1" x14ac:dyDescent="0.3">
      <c r="A8" s="2" t="s">
        <v>139</v>
      </c>
      <c r="B8" s="2" t="s">
        <v>133</v>
      </c>
      <c r="C8" s="2" t="s">
        <v>31</v>
      </c>
      <c r="D8" s="2">
        <v>34</v>
      </c>
      <c r="E8" s="2">
        <v>8</v>
      </c>
      <c r="F8" s="2">
        <v>6</v>
      </c>
      <c r="G8" s="2" t="s">
        <v>23</v>
      </c>
      <c r="H8" s="2">
        <v>150</v>
      </c>
      <c r="I8" s="2">
        <v>900</v>
      </c>
    </row>
    <row r="9" spans="1:9" ht="15" customHeight="1" x14ac:dyDescent="0.3">
      <c r="A9" s="2" t="s">
        <v>140</v>
      </c>
      <c r="B9" s="2" t="s">
        <v>133</v>
      </c>
      <c r="C9" s="2" t="s">
        <v>33</v>
      </c>
      <c r="D9" s="2">
        <v>53</v>
      </c>
      <c r="E9" s="2">
        <v>13</v>
      </c>
      <c r="F9" s="2">
        <v>11</v>
      </c>
      <c r="G9" s="2" t="s">
        <v>26</v>
      </c>
      <c r="H9" s="2">
        <v>300</v>
      </c>
      <c r="I9" s="2">
        <v>3300</v>
      </c>
    </row>
    <row r="10" spans="1:9" ht="15" customHeight="1" x14ac:dyDescent="0.3">
      <c r="A10" s="2" t="s">
        <v>141</v>
      </c>
      <c r="B10" s="2" t="s">
        <v>133</v>
      </c>
      <c r="C10" s="2" t="s">
        <v>20</v>
      </c>
      <c r="D10" s="2">
        <v>102</v>
      </c>
      <c r="E10" s="2">
        <v>28</v>
      </c>
      <c r="F10" s="2">
        <v>24</v>
      </c>
      <c r="G10" s="2" t="s">
        <v>29</v>
      </c>
      <c r="H10" s="2">
        <v>45</v>
      </c>
      <c r="I10" s="2">
        <v>1080</v>
      </c>
    </row>
    <row r="11" spans="1:9" ht="15" customHeight="1" x14ac:dyDescent="0.3">
      <c r="A11" s="2" t="s">
        <v>142</v>
      </c>
      <c r="B11" s="2" t="s">
        <v>133</v>
      </c>
      <c r="C11" s="2" t="s">
        <v>36</v>
      </c>
      <c r="D11" s="2">
        <v>78</v>
      </c>
      <c r="E11" s="2">
        <v>17</v>
      </c>
      <c r="F11" s="2">
        <v>15</v>
      </c>
      <c r="G11" s="2" t="s">
        <v>11</v>
      </c>
      <c r="H11" s="2">
        <v>60</v>
      </c>
      <c r="I11" s="2">
        <v>900</v>
      </c>
    </row>
    <row r="12" spans="1:9" ht="15" customHeight="1" x14ac:dyDescent="0.3">
      <c r="A12" s="2" t="s">
        <v>143</v>
      </c>
      <c r="B12" s="2" t="s">
        <v>133</v>
      </c>
      <c r="C12" s="2"/>
      <c r="D12" s="2">
        <v>132</v>
      </c>
      <c r="E12" s="2">
        <v>43</v>
      </c>
      <c r="F12" s="2">
        <v>38</v>
      </c>
      <c r="G12" s="2" t="s">
        <v>13</v>
      </c>
      <c r="H12" s="2">
        <v>75</v>
      </c>
      <c r="I12" s="2">
        <v>2850</v>
      </c>
    </row>
    <row r="13" spans="1:9" ht="15" customHeight="1" x14ac:dyDescent="0.3">
      <c r="A13" s="2" t="s">
        <v>144</v>
      </c>
      <c r="B13" s="2" t="s">
        <v>133</v>
      </c>
      <c r="C13" s="2" t="s">
        <v>40</v>
      </c>
      <c r="D13" s="2">
        <v>120</v>
      </c>
      <c r="E13" s="2">
        <v>36</v>
      </c>
      <c r="F13" s="2">
        <v>31</v>
      </c>
      <c r="G13" s="2" t="s">
        <v>23</v>
      </c>
      <c r="H13" s="2">
        <v>65</v>
      </c>
      <c r="I13" s="2">
        <v>2015</v>
      </c>
    </row>
    <row r="14" spans="1:9" ht="15" customHeight="1" x14ac:dyDescent="0.3">
      <c r="A14" s="2" t="s">
        <v>145</v>
      </c>
      <c r="B14" s="2" t="s">
        <v>133</v>
      </c>
      <c r="C14" s="2" t="s">
        <v>41</v>
      </c>
      <c r="D14" s="2">
        <v>92</v>
      </c>
      <c r="E14" s="2">
        <v>25</v>
      </c>
      <c r="F14" s="2">
        <v>21</v>
      </c>
      <c r="G14" s="2" t="s">
        <v>26</v>
      </c>
      <c r="H14" s="2">
        <v>80</v>
      </c>
      <c r="I14" s="2">
        <v>1680</v>
      </c>
    </row>
    <row r="15" spans="1:9" ht="15" customHeight="1" x14ac:dyDescent="0.3">
      <c r="A15" s="2" t="s">
        <v>146</v>
      </c>
      <c r="B15" s="2" t="s">
        <v>133</v>
      </c>
      <c r="C15" s="2" t="s">
        <v>43</v>
      </c>
      <c r="D15" s="2">
        <v>28</v>
      </c>
      <c r="E15" s="2">
        <v>7</v>
      </c>
      <c r="F15" s="2">
        <v>5</v>
      </c>
      <c r="G15" s="2" t="s">
        <v>29</v>
      </c>
      <c r="H15" s="2">
        <v>700</v>
      </c>
      <c r="I15" s="2">
        <v>3500</v>
      </c>
    </row>
    <row r="16" spans="1:9" ht="15" customHeight="1" x14ac:dyDescent="0.3">
      <c r="A16" s="2"/>
      <c r="B16" s="2" t="s">
        <v>133</v>
      </c>
      <c r="C16" s="2" t="s">
        <v>45</v>
      </c>
      <c r="D16" s="2">
        <v>44</v>
      </c>
      <c r="E16" s="2">
        <v>11</v>
      </c>
      <c r="F16" s="2">
        <v>9</v>
      </c>
      <c r="G16" s="2" t="s">
        <v>15</v>
      </c>
      <c r="H16" s="2">
        <v>320</v>
      </c>
      <c r="I16" s="2">
        <v>2880</v>
      </c>
    </row>
    <row r="17" spans="1:9" ht="15" customHeight="1" x14ac:dyDescent="0.3">
      <c r="A17" s="2" t="s">
        <v>147</v>
      </c>
      <c r="B17" s="2" t="s">
        <v>133</v>
      </c>
      <c r="C17" s="2" t="s">
        <v>47</v>
      </c>
      <c r="D17" s="2">
        <v>148</v>
      </c>
      <c r="E17" s="2">
        <v>46</v>
      </c>
      <c r="F17" s="2">
        <v>41</v>
      </c>
      <c r="G17" s="2" t="s">
        <v>11</v>
      </c>
      <c r="H17" s="2">
        <v>20</v>
      </c>
      <c r="I17" s="2">
        <v>820</v>
      </c>
    </row>
    <row r="18" spans="1:9" ht="15" customHeight="1" x14ac:dyDescent="0.3">
      <c r="A18" s="2" t="s">
        <v>148</v>
      </c>
      <c r="B18" s="2" t="s">
        <v>133</v>
      </c>
      <c r="C18" s="2" t="s">
        <v>49</v>
      </c>
      <c r="D18" s="2">
        <v>168</v>
      </c>
      <c r="E18" s="2">
        <v>58</v>
      </c>
      <c r="F18" s="2">
        <v>52</v>
      </c>
      <c r="G18" s="2" t="s">
        <v>23</v>
      </c>
      <c r="H18" s="2">
        <v>12</v>
      </c>
      <c r="I18" s="2">
        <v>624</v>
      </c>
    </row>
    <row r="19" spans="1:9" ht="15" customHeight="1" x14ac:dyDescent="0.3">
      <c r="A19" s="2" t="s">
        <v>149</v>
      </c>
      <c r="B19" s="2" t="s">
        <v>133</v>
      </c>
      <c r="C19" s="2" t="s">
        <v>51</v>
      </c>
      <c r="D19" s="2">
        <v>192</v>
      </c>
      <c r="E19" s="2">
        <v>68</v>
      </c>
      <c r="F19" s="2">
        <v>62</v>
      </c>
      <c r="G19" s="2" t="s">
        <v>26</v>
      </c>
      <c r="H19" s="2">
        <v>6</v>
      </c>
      <c r="I19" s="2">
        <v>372</v>
      </c>
    </row>
    <row r="20" spans="1:9" ht="15" customHeight="1" x14ac:dyDescent="0.3">
      <c r="A20" s="2" t="s">
        <v>150</v>
      </c>
      <c r="B20" s="2" t="s">
        <v>133</v>
      </c>
      <c r="C20" s="2" t="s">
        <v>53</v>
      </c>
      <c r="D20" s="2">
        <v>83</v>
      </c>
      <c r="E20" s="2">
        <v>22</v>
      </c>
      <c r="F20" s="2">
        <v>19</v>
      </c>
      <c r="G20" s="2" t="s">
        <v>29</v>
      </c>
      <c r="H20" s="2">
        <v>18</v>
      </c>
      <c r="I20" s="2">
        <v>342</v>
      </c>
    </row>
    <row r="21" spans="1:9" ht="15" customHeight="1" x14ac:dyDescent="0.3">
      <c r="A21" s="2"/>
      <c r="B21" s="2" t="s">
        <v>133</v>
      </c>
      <c r="C21" s="2" t="s">
        <v>55</v>
      </c>
      <c r="D21" s="2">
        <v>68</v>
      </c>
      <c r="E21" s="2">
        <v>16</v>
      </c>
      <c r="F21" s="2">
        <v>13</v>
      </c>
      <c r="G21" s="2" t="s">
        <v>13</v>
      </c>
      <c r="H21" s="2">
        <v>55</v>
      </c>
      <c r="I21" s="2">
        <v>715</v>
      </c>
    </row>
    <row r="22" spans="1:9" ht="15" customHeight="1" x14ac:dyDescent="0.3">
      <c r="A22" s="2" t="s">
        <v>151</v>
      </c>
      <c r="B22" s="2" t="s">
        <v>133</v>
      </c>
      <c r="C22" s="2" t="s">
        <v>57</v>
      </c>
      <c r="D22" s="2">
        <v>58</v>
      </c>
      <c r="E22" s="2">
        <v>13</v>
      </c>
      <c r="F22" s="2">
        <v>10</v>
      </c>
      <c r="G22" s="2" t="s">
        <v>15</v>
      </c>
      <c r="H22" s="2">
        <v>25</v>
      </c>
      <c r="I22" s="2">
        <v>250</v>
      </c>
    </row>
    <row r="23" spans="1:9" ht="15" customHeight="1" x14ac:dyDescent="0.3">
      <c r="A23" s="2" t="s">
        <v>152</v>
      </c>
      <c r="B23" s="2" t="s">
        <v>133</v>
      </c>
      <c r="C23" s="2" t="s">
        <v>59</v>
      </c>
      <c r="D23" s="2">
        <v>48</v>
      </c>
      <c r="E23" s="2">
        <v>12</v>
      </c>
      <c r="F23" s="2">
        <v>10</v>
      </c>
      <c r="G23" s="2" t="s">
        <v>23</v>
      </c>
      <c r="H23" s="2">
        <v>210</v>
      </c>
      <c r="I23" s="2">
        <v>2100</v>
      </c>
    </row>
    <row r="24" spans="1:9" ht="15" customHeight="1" x14ac:dyDescent="0.3">
      <c r="A24" s="2" t="s">
        <v>153</v>
      </c>
      <c r="B24" s="2" t="s">
        <v>133</v>
      </c>
      <c r="C24" s="2" t="s">
        <v>61</v>
      </c>
      <c r="D24" s="2">
        <v>41</v>
      </c>
      <c r="E24" s="2">
        <v>8</v>
      </c>
      <c r="F24" s="2">
        <v>6</v>
      </c>
      <c r="G24" s="2" t="s">
        <v>26</v>
      </c>
      <c r="H24" s="2">
        <v>650</v>
      </c>
      <c r="I24" s="2">
        <v>3900</v>
      </c>
    </row>
    <row r="25" spans="1:9" ht="15" customHeight="1" x14ac:dyDescent="0.3">
      <c r="A25" s="2" t="s">
        <v>154</v>
      </c>
      <c r="B25" s="2" t="s">
        <v>133</v>
      </c>
      <c r="C25" s="2" t="s">
        <v>63</v>
      </c>
      <c r="D25" s="2">
        <v>24</v>
      </c>
      <c r="E25" s="2">
        <v>5</v>
      </c>
      <c r="F25" s="2">
        <v>4</v>
      </c>
      <c r="G25" s="2" t="s">
        <v>29</v>
      </c>
      <c r="H25" s="2">
        <v>900</v>
      </c>
      <c r="I25" s="2">
        <v>3600</v>
      </c>
    </row>
    <row r="26" spans="1:9" ht="15" customHeight="1" x14ac:dyDescent="0.3">
      <c r="A26" s="2" t="s">
        <v>155</v>
      </c>
      <c r="B26" s="2" t="s">
        <v>133</v>
      </c>
      <c r="C26" s="2" t="s">
        <v>65</v>
      </c>
      <c r="D26" s="2">
        <v>158</v>
      </c>
      <c r="E26" s="2">
        <v>50</v>
      </c>
      <c r="F26" s="2">
        <v>45</v>
      </c>
      <c r="G26" s="2" t="s">
        <v>11</v>
      </c>
      <c r="H26" s="2">
        <v>14</v>
      </c>
      <c r="I26" s="2">
        <v>630</v>
      </c>
    </row>
    <row r="27" spans="1:9" ht="15" customHeight="1" x14ac:dyDescent="0.3">
      <c r="A27" s="2" t="s">
        <v>156</v>
      </c>
      <c r="B27" s="2" t="s">
        <v>133</v>
      </c>
      <c r="C27" s="2" t="s">
        <v>67</v>
      </c>
      <c r="D27" s="2">
        <v>18</v>
      </c>
      <c r="E27" s="2">
        <v>4</v>
      </c>
      <c r="F27" s="2">
        <v>3</v>
      </c>
      <c r="G27" s="2" t="s">
        <v>13</v>
      </c>
      <c r="H27" s="2">
        <v>480</v>
      </c>
      <c r="I27" s="2">
        <v>1440</v>
      </c>
    </row>
    <row r="28" spans="1:9" ht="15" customHeight="1" x14ac:dyDescent="0.3">
      <c r="A28" s="2" t="s">
        <v>157</v>
      </c>
      <c r="B28" s="2" t="s">
        <v>133</v>
      </c>
      <c r="C28" s="2" t="s">
        <v>68</v>
      </c>
      <c r="D28" s="2">
        <v>178</v>
      </c>
      <c r="E28" s="2">
        <v>63</v>
      </c>
      <c r="F28" s="2">
        <v>58</v>
      </c>
      <c r="G28" s="2" t="s">
        <v>23</v>
      </c>
      <c r="H28" s="2">
        <v>10</v>
      </c>
      <c r="I28" s="2">
        <v>580</v>
      </c>
    </row>
    <row r="29" spans="1:9" ht="15" customHeight="1" x14ac:dyDescent="0.3">
      <c r="A29" s="2" t="s">
        <v>158</v>
      </c>
      <c r="B29" s="2" t="s">
        <v>133</v>
      </c>
      <c r="C29" s="2" t="s">
        <v>70</v>
      </c>
      <c r="D29" s="2">
        <v>80</v>
      </c>
      <c r="E29" s="2">
        <v>19</v>
      </c>
      <c r="F29" s="2">
        <v>16</v>
      </c>
      <c r="G29" s="2" t="s">
        <v>26</v>
      </c>
      <c r="H29" s="2">
        <v>95</v>
      </c>
      <c r="I29" s="2">
        <v>1520</v>
      </c>
    </row>
    <row r="30" spans="1:9" ht="15" customHeight="1" x14ac:dyDescent="0.3">
      <c r="A30" s="2" t="s">
        <v>159</v>
      </c>
      <c r="B30" s="2" t="s">
        <v>133</v>
      </c>
      <c r="C30" s="2"/>
      <c r="D30" s="2">
        <v>70</v>
      </c>
      <c r="E30" s="2">
        <v>17</v>
      </c>
      <c r="F30" s="2">
        <v>14</v>
      </c>
      <c r="G30" s="2" t="s">
        <v>29</v>
      </c>
      <c r="H30" s="2">
        <v>85</v>
      </c>
      <c r="I30" s="2">
        <v>1190</v>
      </c>
    </row>
    <row r="31" spans="1:9" ht="15" customHeight="1" x14ac:dyDescent="0.3">
      <c r="A31" s="2" t="s">
        <v>160</v>
      </c>
      <c r="B31" s="2" t="s">
        <v>133</v>
      </c>
      <c r="C31" s="2" t="s">
        <v>74</v>
      </c>
      <c r="D31" s="2">
        <v>15</v>
      </c>
      <c r="E31" s="2">
        <v>3</v>
      </c>
      <c r="F31" s="2">
        <v>2</v>
      </c>
      <c r="G31" s="2" t="s">
        <v>15</v>
      </c>
      <c r="H31" s="2">
        <v>400</v>
      </c>
      <c r="I31" s="2">
        <v>800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C095F-B192-4D95-A245-7FFA62F1C0B8}">
  <dimension ref="A1:I31"/>
  <sheetViews>
    <sheetView workbookViewId="0">
      <selection sqref="A1:I31"/>
    </sheetView>
  </sheetViews>
  <sheetFormatPr defaultRowHeight="14.4" x14ac:dyDescent="0.3"/>
  <cols>
    <col min="1" max="9" width="19.109375" customWidth="1"/>
  </cols>
  <sheetData>
    <row r="1" spans="1:9" ht="15" customHeight="1" x14ac:dyDescent="0.3">
      <c r="A1" s="1" t="s">
        <v>0</v>
      </c>
      <c r="B1" s="1" t="s">
        <v>1</v>
      </c>
      <c r="C1" s="1" t="s">
        <v>2</v>
      </c>
      <c r="D1" s="1" t="s">
        <v>3</v>
      </c>
      <c r="E1" s="1" t="s">
        <v>4</v>
      </c>
      <c r="F1" s="1" t="s">
        <v>5</v>
      </c>
      <c r="G1" s="1" t="s">
        <v>6</v>
      </c>
      <c r="H1" s="1" t="s">
        <v>7</v>
      </c>
      <c r="I1" s="1" t="s">
        <v>8</v>
      </c>
    </row>
    <row r="2" spans="1:9" ht="15" customHeight="1" x14ac:dyDescent="0.3">
      <c r="A2" s="2" t="s">
        <v>161</v>
      </c>
      <c r="B2" s="2" t="s">
        <v>18</v>
      </c>
      <c r="C2" s="2" t="s">
        <v>10</v>
      </c>
      <c r="D2" s="2">
        <v>114</v>
      </c>
      <c r="E2" s="2">
        <v>32</v>
      </c>
      <c r="F2" s="2">
        <v>27</v>
      </c>
      <c r="G2" s="2" t="s">
        <v>23</v>
      </c>
      <c r="H2" s="2">
        <v>15</v>
      </c>
      <c r="I2" s="2">
        <v>405</v>
      </c>
    </row>
    <row r="3" spans="1:9" ht="15" customHeight="1" x14ac:dyDescent="0.3">
      <c r="A3" s="2" t="s">
        <v>162</v>
      </c>
      <c r="B3" s="2" t="s">
        <v>18</v>
      </c>
      <c r="C3" s="2" t="s">
        <v>12</v>
      </c>
      <c r="D3" s="2">
        <v>144</v>
      </c>
      <c r="E3" s="2">
        <v>52</v>
      </c>
      <c r="F3" s="2">
        <v>46</v>
      </c>
      <c r="G3" s="2" t="s">
        <v>26</v>
      </c>
      <c r="H3" s="2">
        <v>8</v>
      </c>
      <c r="I3" s="2">
        <v>368</v>
      </c>
    </row>
    <row r="4" spans="1:9" ht="15" customHeight="1" x14ac:dyDescent="0.3">
      <c r="A4" s="2" t="s">
        <v>163</v>
      </c>
      <c r="B4" s="2" t="s">
        <v>18</v>
      </c>
      <c r="C4" s="2" t="s">
        <v>14</v>
      </c>
      <c r="D4" s="2">
        <v>70</v>
      </c>
      <c r="E4" s="2">
        <v>18</v>
      </c>
      <c r="F4" s="2">
        <v>15</v>
      </c>
      <c r="G4" s="2" t="s">
        <v>11</v>
      </c>
      <c r="H4" s="2">
        <v>120</v>
      </c>
      <c r="I4" s="2">
        <v>1800</v>
      </c>
    </row>
    <row r="5" spans="1:9" ht="15" customHeight="1" x14ac:dyDescent="0.3">
      <c r="A5" s="2" t="s">
        <v>164</v>
      </c>
      <c r="B5" s="2" t="s">
        <v>18</v>
      </c>
      <c r="C5" s="2" t="s">
        <v>25</v>
      </c>
      <c r="D5" s="2">
        <v>36</v>
      </c>
      <c r="E5" s="2">
        <v>9</v>
      </c>
      <c r="F5" s="2">
        <v>6</v>
      </c>
      <c r="G5" s="2" t="s">
        <v>13</v>
      </c>
      <c r="H5" s="2">
        <v>550</v>
      </c>
      <c r="I5" s="2">
        <v>3300</v>
      </c>
    </row>
    <row r="6" spans="1:9" ht="15" customHeight="1" x14ac:dyDescent="0.3">
      <c r="A6" s="2"/>
      <c r="B6" s="2" t="s">
        <v>18</v>
      </c>
      <c r="C6" s="2" t="s">
        <v>16</v>
      </c>
      <c r="D6" s="2">
        <v>88</v>
      </c>
      <c r="E6" s="2">
        <v>22</v>
      </c>
      <c r="F6" s="2">
        <v>18</v>
      </c>
      <c r="G6" s="2" t="s">
        <v>29</v>
      </c>
      <c r="H6" s="2">
        <v>22</v>
      </c>
      <c r="I6" s="2">
        <v>396</v>
      </c>
    </row>
    <row r="7" spans="1:9" ht="15" customHeight="1" x14ac:dyDescent="0.3">
      <c r="A7" s="2" t="s">
        <v>165</v>
      </c>
      <c r="B7" s="2" t="s">
        <v>18</v>
      </c>
      <c r="C7" s="2" t="s">
        <v>19</v>
      </c>
      <c r="D7" s="2">
        <v>62</v>
      </c>
      <c r="E7" s="2">
        <v>14</v>
      </c>
      <c r="F7" s="2">
        <v>12</v>
      </c>
      <c r="G7" s="2" t="s">
        <v>23</v>
      </c>
      <c r="H7" s="2">
        <v>35</v>
      </c>
      <c r="I7" s="2">
        <v>420</v>
      </c>
    </row>
    <row r="8" spans="1:9" ht="15" customHeight="1" x14ac:dyDescent="0.3">
      <c r="A8" s="2" t="s">
        <v>166</v>
      </c>
      <c r="B8" s="2" t="s">
        <v>18</v>
      </c>
      <c r="C8" s="2" t="s">
        <v>31</v>
      </c>
      <c r="D8" s="2">
        <v>32</v>
      </c>
      <c r="E8" s="2">
        <v>7</v>
      </c>
      <c r="F8" s="2">
        <v>5</v>
      </c>
      <c r="G8" s="2" t="s">
        <v>26</v>
      </c>
      <c r="H8" s="2">
        <v>150</v>
      </c>
      <c r="I8" s="2">
        <v>750</v>
      </c>
    </row>
    <row r="9" spans="1:9" ht="15" customHeight="1" x14ac:dyDescent="0.3">
      <c r="A9" s="2" t="s">
        <v>167</v>
      </c>
      <c r="B9" s="2" t="s">
        <v>18</v>
      </c>
      <c r="C9" s="2" t="s">
        <v>33</v>
      </c>
      <c r="D9" s="2">
        <v>50</v>
      </c>
      <c r="E9" s="2">
        <v>12</v>
      </c>
      <c r="F9" s="2">
        <v>10</v>
      </c>
      <c r="G9" s="2" t="s">
        <v>15</v>
      </c>
      <c r="H9" s="2">
        <v>300</v>
      </c>
      <c r="I9" s="2">
        <v>3000</v>
      </c>
    </row>
    <row r="10" spans="1:9" ht="15" customHeight="1" x14ac:dyDescent="0.3">
      <c r="A10" s="2" t="s">
        <v>168</v>
      </c>
      <c r="B10" s="2" t="s">
        <v>18</v>
      </c>
      <c r="C10" s="2" t="s">
        <v>20</v>
      </c>
      <c r="D10" s="2">
        <v>100</v>
      </c>
      <c r="E10" s="2">
        <v>26</v>
      </c>
      <c r="F10" s="2">
        <v>22</v>
      </c>
      <c r="G10" s="2" t="s">
        <v>11</v>
      </c>
      <c r="H10" s="2">
        <v>45</v>
      </c>
      <c r="I10" s="2">
        <v>990</v>
      </c>
    </row>
    <row r="11" spans="1:9" ht="15" customHeight="1" x14ac:dyDescent="0.3">
      <c r="A11" s="2" t="s">
        <v>169</v>
      </c>
      <c r="B11" s="2" t="s">
        <v>18</v>
      </c>
      <c r="C11" s="2" t="s">
        <v>36</v>
      </c>
      <c r="D11" s="2">
        <v>76</v>
      </c>
      <c r="E11" s="2">
        <v>16</v>
      </c>
      <c r="F11" s="2">
        <v>14</v>
      </c>
      <c r="G11" s="2" t="s">
        <v>29</v>
      </c>
      <c r="H11" s="2">
        <v>60</v>
      </c>
      <c r="I11" s="2">
        <v>840</v>
      </c>
    </row>
    <row r="12" spans="1:9" ht="15" customHeight="1" x14ac:dyDescent="0.3">
      <c r="A12" s="2" t="s">
        <v>170</v>
      </c>
      <c r="B12" s="2" t="s">
        <v>18</v>
      </c>
      <c r="C12" s="2" t="s">
        <v>38</v>
      </c>
      <c r="D12" s="2">
        <v>130</v>
      </c>
      <c r="E12" s="2">
        <v>40</v>
      </c>
      <c r="F12" s="2">
        <v>35</v>
      </c>
      <c r="G12" s="2" t="s">
        <v>26</v>
      </c>
      <c r="H12" s="2">
        <v>75</v>
      </c>
      <c r="I12" s="2">
        <v>2625</v>
      </c>
    </row>
    <row r="13" spans="1:9" ht="15" customHeight="1" x14ac:dyDescent="0.3">
      <c r="A13" s="2" t="s">
        <v>171</v>
      </c>
      <c r="B13" s="2" t="s">
        <v>18</v>
      </c>
      <c r="C13" s="2" t="s">
        <v>40</v>
      </c>
      <c r="D13" s="2">
        <v>118</v>
      </c>
      <c r="E13" s="2">
        <v>34</v>
      </c>
      <c r="F13" s="2">
        <v>29</v>
      </c>
      <c r="G13" s="2" t="s">
        <v>23</v>
      </c>
      <c r="H13" s="2">
        <v>65</v>
      </c>
      <c r="I13" s="2">
        <v>1885</v>
      </c>
    </row>
    <row r="14" spans="1:9" ht="15" customHeight="1" x14ac:dyDescent="0.3">
      <c r="A14" s="2" t="s">
        <v>172</v>
      </c>
      <c r="B14" s="2" t="s">
        <v>18</v>
      </c>
      <c r="C14" s="2" t="s">
        <v>41</v>
      </c>
      <c r="D14" s="2">
        <v>90</v>
      </c>
      <c r="E14" s="2">
        <v>24</v>
      </c>
      <c r="F14" s="2">
        <v>20</v>
      </c>
      <c r="G14" s="2" t="s">
        <v>13</v>
      </c>
      <c r="H14" s="2">
        <v>80</v>
      </c>
      <c r="I14" s="2">
        <v>1600</v>
      </c>
    </row>
    <row r="15" spans="1:9" ht="15" customHeight="1" x14ac:dyDescent="0.3">
      <c r="A15" s="2" t="s">
        <v>173</v>
      </c>
      <c r="B15" s="2" t="s">
        <v>18</v>
      </c>
      <c r="C15" s="2" t="s">
        <v>43</v>
      </c>
      <c r="D15" s="2">
        <v>26</v>
      </c>
      <c r="E15" s="2">
        <v>6</v>
      </c>
      <c r="F15" s="2">
        <v>4</v>
      </c>
      <c r="G15" s="2" t="s">
        <v>26</v>
      </c>
      <c r="H15" s="2">
        <v>700</v>
      </c>
      <c r="I15" s="2">
        <v>2800</v>
      </c>
    </row>
    <row r="16" spans="1:9" ht="15" customHeight="1" x14ac:dyDescent="0.3">
      <c r="A16" s="2" t="s">
        <v>174</v>
      </c>
      <c r="B16" s="2" t="s">
        <v>18</v>
      </c>
      <c r="C16" s="2" t="s">
        <v>45</v>
      </c>
      <c r="D16" s="2">
        <v>42</v>
      </c>
      <c r="E16" s="2">
        <v>10</v>
      </c>
      <c r="F16" s="2">
        <v>8</v>
      </c>
      <c r="G16" s="2" t="s">
        <v>29</v>
      </c>
      <c r="H16" s="2">
        <v>320</v>
      </c>
      <c r="I16" s="2">
        <v>2560</v>
      </c>
    </row>
    <row r="17" spans="1:9" ht="15" customHeight="1" x14ac:dyDescent="0.3">
      <c r="A17" s="2" t="s">
        <v>175</v>
      </c>
      <c r="B17" s="2" t="s">
        <v>18</v>
      </c>
      <c r="C17" s="2" t="s">
        <v>47</v>
      </c>
      <c r="D17" s="2">
        <v>145</v>
      </c>
      <c r="E17" s="2">
        <v>44</v>
      </c>
      <c r="F17" s="2">
        <v>39</v>
      </c>
      <c r="G17" s="2" t="s">
        <v>15</v>
      </c>
      <c r="H17" s="2">
        <v>20</v>
      </c>
      <c r="I17" s="2">
        <v>780</v>
      </c>
    </row>
    <row r="18" spans="1:9" ht="15" customHeight="1" x14ac:dyDescent="0.3">
      <c r="A18" s="2" t="s">
        <v>176</v>
      </c>
      <c r="B18" s="2" t="s">
        <v>18</v>
      </c>
      <c r="C18" s="2" t="s">
        <v>49</v>
      </c>
      <c r="D18" s="2">
        <v>165</v>
      </c>
      <c r="E18" s="2">
        <v>55</v>
      </c>
      <c r="F18" s="2">
        <v>50</v>
      </c>
      <c r="G18" s="2" t="s">
        <v>11</v>
      </c>
      <c r="H18" s="2">
        <v>12</v>
      </c>
      <c r="I18" s="2">
        <v>600</v>
      </c>
    </row>
    <row r="19" spans="1:9" ht="15" customHeight="1" x14ac:dyDescent="0.3">
      <c r="A19" s="2" t="s">
        <v>177</v>
      </c>
      <c r="B19" s="2" t="s">
        <v>18</v>
      </c>
      <c r="C19" s="2" t="s">
        <v>51</v>
      </c>
      <c r="D19" s="2">
        <v>190</v>
      </c>
      <c r="E19" s="2">
        <v>65</v>
      </c>
      <c r="F19" s="2">
        <v>60</v>
      </c>
      <c r="G19" s="2" t="s">
        <v>23</v>
      </c>
      <c r="H19" s="2">
        <v>6</v>
      </c>
      <c r="I19" s="2">
        <v>360</v>
      </c>
    </row>
    <row r="20" spans="1:9" ht="15" customHeight="1" x14ac:dyDescent="0.3">
      <c r="A20" s="2" t="s">
        <v>178</v>
      </c>
      <c r="B20" s="2" t="s">
        <v>18</v>
      </c>
      <c r="C20" s="2" t="s">
        <v>53</v>
      </c>
      <c r="D20" s="2">
        <v>80</v>
      </c>
      <c r="E20" s="2">
        <v>20</v>
      </c>
      <c r="F20" s="2">
        <v>17</v>
      </c>
      <c r="G20" s="2" t="s">
        <v>26</v>
      </c>
      <c r="H20" s="2">
        <v>18</v>
      </c>
      <c r="I20" s="2">
        <v>306</v>
      </c>
    </row>
    <row r="21" spans="1:9" ht="15" customHeight="1" x14ac:dyDescent="0.3">
      <c r="A21" s="2" t="s">
        <v>179</v>
      </c>
      <c r="B21" s="2" t="s">
        <v>18</v>
      </c>
      <c r="C21" s="2" t="s">
        <v>55</v>
      </c>
      <c r="D21" s="2">
        <v>65</v>
      </c>
      <c r="E21" s="2">
        <v>15</v>
      </c>
      <c r="F21" s="2">
        <v>12</v>
      </c>
      <c r="G21" s="2" t="s">
        <v>29</v>
      </c>
      <c r="H21" s="2">
        <v>55</v>
      </c>
      <c r="I21" s="2">
        <v>660</v>
      </c>
    </row>
    <row r="22" spans="1:9" ht="15" customHeight="1" x14ac:dyDescent="0.3">
      <c r="A22" s="2" t="s">
        <v>180</v>
      </c>
      <c r="B22" s="2" t="s">
        <v>18</v>
      </c>
      <c r="C22" s="2" t="s">
        <v>57</v>
      </c>
      <c r="D22" s="2">
        <v>56</v>
      </c>
      <c r="E22" s="2">
        <v>12</v>
      </c>
      <c r="F22" s="2">
        <v>9</v>
      </c>
      <c r="G22" s="2" t="s">
        <v>13</v>
      </c>
      <c r="H22" s="2">
        <v>25</v>
      </c>
      <c r="I22" s="2">
        <v>225</v>
      </c>
    </row>
    <row r="23" spans="1:9" ht="15" customHeight="1" x14ac:dyDescent="0.3">
      <c r="A23" s="2" t="s">
        <v>181</v>
      </c>
      <c r="B23" s="2" t="s">
        <v>18</v>
      </c>
      <c r="C23" s="2" t="s">
        <v>59</v>
      </c>
      <c r="D23" s="2">
        <v>46</v>
      </c>
      <c r="E23" s="2">
        <v>11</v>
      </c>
      <c r="F23" s="2">
        <v>9</v>
      </c>
      <c r="G23" s="2" t="s">
        <v>23</v>
      </c>
      <c r="H23" s="2">
        <v>210</v>
      </c>
      <c r="I23" s="2">
        <v>1890</v>
      </c>
    </row>
    <row r="24" spans="1:9" ht="15" customHeight="1" x14ac:dyDescent="0.3">
      <c r="A24" s="2"/>
      <c r="B24" s="2" t="s">
        <v>18</v>
      </c>
      <c r="C24" s="2"/>
      <c r="D24" s="2">
        <v>39</v>
      </c>
      <c r="E24" s="2">
        <v>7</v>
      </c>
      <c r="F24" s="2">
        <v>5</v>
      </c>
      <c r="G24" s="2" t="s">
        <v>15</v>
      </c>
      <c r="H24" s="2">
        <v>650</v>
      </c>
      <c r="I24" s="2">
        <v>3250</v>
      </c>
    </row>
    <row r="25" spans="1:9" ht="15" customHeight="1" x14ac:dyDescent="0.3">
      <c r="A25" s="2" t="s">
        <v>182</v>
      </c>
      <c r="B25" s="2" t="s">
        <v>18</v>
      </c>
      <c r="C25" s="2" t="s">
        <v>63</v>
      </c>
      <c r="D25" s="2">
        <v>22</v>
      </c>
      <c r="E25" s="2">
        <v>4</v>
      </c>
      <c r="F25" s="2">
        <v>3</v>
      </c>
      <c r="G25" s="2" t="s">
        <v>26</v>
      </c>
      <c r="H25" s="2">
        <v>900</v>
      </c>
      <c r="I25" s="2">
        <v>2700</v>
      </c>
    </row>
    <row r="26" spans="1:9" ht="15" customHeight="1" x14ac:dyDescent="0.3">
      <c r="A26" s="2" t="s">
        <v>183</v>
      </c>
      <c r="B26" s="2" t="s">
        <v>18</v>
      </c>
      <c r="C26" s="2" t="s">
        <v>65</v>
      </c>
      <c r="D26" s="2">
        <v>155</v>
      </c>
      <c r="E26" s="2">
        <v>48</v>
      </c>
      <c r="F26" s="2">
        <v>43</v>
      </c>
      <c r="G26" s="2" t="s">
        <v>29</v>
      </c>
      <c r="H26" s="2">
        <v>14</v>
      </c>
      <c r="I26" s="2">
        <v>602</v>
      </c>
    </row>
    <row r="27" spans="1:9" ht="15" customHeight="1" x14ac:dyDescent="0.3">
      <c r="A27" s="2" t="s">
        <v>184</v>
      </c>
      <c r="B27" s="2" t="s">
        <v>18</v>
      </c>
      <c r="C27" s="2" t="s">
        <v>67</v>
      </c>
      <c r="D27" s="2">
        <v>16</v>
      </c>
      <c r="E27" s="2">
        <v>3</v>
      </c>
      <c r="F27" s="2">
        <v>2</v>
      </c>
      <c r="G27" s="2" t="s">
        <v>11</v>
      </c>
      <c r="H27" s="2">
        <v>480</v>
      </c>
      <c r="I27" s="2">
        <v>960</v>
      </c>
    </row>
    <row r="28" spans="1:9" ht="15" customHeight="1" x14ac:dyDescent="0.3">
      <c r="A28" s="2" t="s">
        <v>185</v>
      </c>
      <c r="B28" s="2" t="s">
        <v>18</v>
      </c>
      <c r="C28" s="2" t="s">
        <v>68</v>
      </c>
      <c r="D28" s="2">
        <v>175</v>
      </c>
      <c r="E28" s="2">
        <v>60</v>
      </c>
      <c r="F28" s="2">
        <v>55</v>
      </c>
      <c r="G28" s="2" t="s">
        <v>23</v>
      </c>
      <c r="H28" s="2">
        <v>10</v>
      </c>
      <c r="I28" s="2">
        <v>550</v>
      </c>
    </row>
    <row r="29" spans="1:9" ht="15" customHeight="1" x14ac:dyDescent="0.3">
      <c r="A29" s="2" t="s">
        <v>186</v>
      </c>
      <c r="B29" s="2" t="s">
        <v>18</v>
      </c>
      <c r="C29" s="2" t="s">
        <v>70</v>
      </c>
      <c r="D29" s="2">
        <v>78</v>
      </c>
      <c r="E29" s="2">
        <v>18</v>
      </c>
      <c r="F29" s="2">
        <v>15</v>
      </c>
      <c r="G29" s="2" t="s">
        <v>26</v>
      </c>
      <c r="H29" s="2">
        <v>95</v>
      </c>
      <c r="I29" s="2">
        <v>1425</v>
      </c>
    </row>
    <row r="30" spans="1:9" ht="15" customHeight="1" x14ac:dyDescent="0.3">
      <c r="A30" s="2" t="s">
        <v>187</v>
      </c>
      <c r="B30" s="2" t="s">
        <v>18</v>
      </c>
      <c r="C30" s="2" t="s">
        <v>72</v>
      </c>
      <c r="D30" s="2">
        <v>68</v>
      </c>
      <c r="E30" s="2">
        <v>16</v>
      </c>
      <c r="F30" s="2">
        <v>13</v>
      </c>
      <c r="G30" s="2" t="s">
        <v>29</v>
      </c>
      <c r="H30" s="2">
        <v>85</v>
      </c>
      <c r="I30" s="2">
        <v>1105</v>
      </c>
    </row>
    <row r="31" spans="1:9" ht="15" customHeight="1" x14ac:dyDescent="0.3">
      <c r="A31" s="2" t="s">
        <v>188</v>
      </c>
      <c r="B31" s="2" t="s">
        <v>18</v>
      </c>
      <c r="C31" s="2" t="s">
        <v>74</v>
      </c>
      <c r="D31" s="2">
        <v>14</v>
      </c>
      <c r="E31" s="2">
        <v>2</v>
      </c>
      <c r="F31" s="2">
        <v>1</v>
      </c>
      <c r="G31" s="2" t="s">
        <v>15</v>
      </c>
      <c r="H31" s="2">
        <v>400</v>
      </c>
      <c r="I31" s="2">
        <v>400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708F14-72B5-4422-AFBA-2A060C524258}">
  <dimension ref="A1:I31"/>
  <sheetViews>
    <sheetView workbookViewId="0">
      <selection sqref="A1:I31"/>
    </sheetView>
  </sheetViews>
  <sheetFormatPr defaultRowHeight="14.4" x14ac:dyDescent="0.3"/>
  <cols>
    <col min="1" max="9" width="19.109375" customWidth="1"/>
  </cols>
  <sheetData>
    <row r="1" spans="1:9" ht="15" customHeight="1" x14ac:dyDescent="0.3">
      <c r="A1" s="1" t="s">
        <v>0</v>
      </c>
      <c r="B1" s="1" t="s">
        <v>1</v>
      </c>
      <c r="C1" s="1" t="s">
        <v>2</v>
      </c>
      <c r="D1" s="1" t="s">
        <v>3</v>
      </c>
      <c r="E1" s="1" t="s">
        <v>4</v>
      </c>
      <c r="F1" s="1" t="s">
        <v>5</v>
      </c>
      <c r="G1" s="1" t="s">
        <v>6</v>
      </c>
      <c r="H1" s="1" t="s">
        <v>7</v>
      </c>
      <c r="I1" s="1" t="s">
        <v>8</v>
      </c>
    </row>
    <row r="2" spans="1:9" ht="15" customHeight="1" x14ac:dyDescent="0.3">
      <c r="A2" s="2" t="s">
        <v>189</v>
      </c>
      <c r="B2" s="2" t="s">
        <v>190</v>
      </c>
      <c r="C2" s="2" t="s">
        <v>10</v>
      </c>
      <c r="D2" s="2">
        <v>112</v>
      </c>
      <c r="E2" s="2">
        <v>30</v>
      </c>
      <c r="F2" s="2">
        <v>25</v>
      </c>
      <c r="G2" s="2" t="s">
        <v>11</v>
      </c>
      <c r="H2" s="2">
        <v>15</v>
      </c>
      <c r="I2" s="2">
        <v>375</v>
      </c>
    </row>
    <row r="3" spans="1:9" ht="15" customHeight="1" x14ac:dyDescent="0.3">
      <c r="A3" s="2" t="s">
        <v>191</v>
      </c>
      <c r="B3" s="2" t="s">
        <v>190</v>
      </c>
      <c r="C3" s="2" t="s">
        <v>12</v>
      </c>
      <c r="D3" s="2">
        <v>142</v>
      </c>
      <c r="E3" s="2">
        <v>50</v>
      </c>
      <c r="F3" s="2">
        <v>44</v>
      </c>
      <c r="G3" s="2" t="s">
        <v>23</v>
      </c>
      <c r="H3" s="2">
        <v>8</v>
      </c>
      <c r="I3" s="2">
        <v>352</v>
      </c>
    </row>
    <row r="4" spans="1:9" ht="15" customHeight="1" x14ac:dyDescent="0.3">
      <c r="A4" s="2"/>
      <c r="B4" s="2" t="s">
        <v>190</v>
      </c>
      <c r="C4" s="2" t="s">
        <v>14</v>
      </c>
      <c r="D4" s="2">
        <v>68</v>
      </c>
      <c r="E4" s="2">
        <v>17</v>
      </c>
      <c r="F4" s="2">
        <v>14</v>
      </c>
      <c r="G4" s="2" t="s">
        <v>26</v>
      </c>
      <c r="H4" s="2">
        <v>120</v>
      </c>
      <c r="I4" s="2">
        <v>1680</v>
      </c>
    </row>
    <row r="5" spans="1:9" ht="15" customHeight="1" x14ac:dyDescent="0.3">
      <c r="A5" s="2" t="s">
        <v>192</v>
      </c>
      <c r="B5" s="2" t="s">
        <v>190</v>
      </c>
      <c r="C5" s="2" t="s">
        <v>25</v>
      </c>
      <c r="D5" s="2">
        <v>34</v>
      </c>
      <c r="E5" s="2">
        <v>8</v>
      </c>
      <c r="F5" s="2">
        <v>5</v>
      </c>
      <c r="G5" s="2" t="s">
        <v>29</v>
      </c>
      <c r="H5" s="2">
        <v>550</v>
      </c>
      <c r="I5" s="2">
        <v>2750</v>
      </c>
    </row>
    <row r="6" spans="1:9" ht="15" customHeight="1" x14ac:dyDescent="0.3">
      <c r="A6" s="2" t="s">
        <v>193</v>
      </c>
      <c r="B6" s="2" t="s">
        <v>190</v>
      </c>
      <c r="C6" s="2"/>
      <c r="D6" s="2">
        <v>86</v>
      </c>
      <c r="E6" s="2">
        <v>20</v>
      </c>
      <c r="F6" s="2">
        <v>16</v>
      </c>
      <c r="G6" s="2" t="s">
        <v>15</v>
      </c>
      <c r="H6" s="2">
        <v>22</v>
      </c>
      <c r="I6" s="2">
        <v>352</v>
      </c>
    </row>
    <row r="7" spans="1:9" ht="15" customHeight="1" x14ac:dyDescent="0.3">
      <c r="A7" s="2" t="s">
        <v>194</v>
      </c>
      <c r="B7" s="2" t="s">
        <v>190</v>
      </c>
      <c r="C7" s="2" t="s">
        <v>19</v>
      </c>
      <c r="D7" s="2">
        <v>60</v>
      </c>
      <c r="E7" s="2">
        <v>13</v>
      </c>
      <c r="F7" s="2">
        <v>11</v>
      </c>
      <c r="G7" s="2" t="s">
        <v>13</v>
      </c>
      <c r="H7" s="2">
        <v>35</v>
      </c>
      <c r="I7" s="2">
        <v>385</v>
      </c>
    </row>
    <row r="8" spans="1:9" ht="15" customHeight="1" x14ac:dyDescent="0.3">
      <c r="A8" s="2" t="s">
        <v>195</v>
      </c>
      <c r="B8" s="2" t="s">
        <v>190</v>
      </c>
      <c r="C8" s="2" t="s">
        <v>31</v>
      </c>
      <c r="D8" s="2">
        <v>30</v>
      </c>
      <c r="E8" s="2">
        <v>6</v>
      </c>
      <c r="F8" s="2">
        <v>4</v>
      </c>
      <c r="G8" s="2" t="s">
        <v>23</v>
      </c>
      <c r="H8" s="2">
        <v>150</v>
      </c>
      <c r="I8" s="2">
        <v>600</v>
      </c>
    </row>
    <row r="9" spans="1:9" ht="15" customHeight="1" x14ac:dyDescent="0.3">
      <c r="A9" s="2" t="s">
        <v>196</v>
      </c>
      <c r="B9" s="2" t="s">
        <v>190</v>
      </c>
      <c r="C9" s="2" t="s">
        <v>33</v>
      </c>
      <c r="D9" s="2">
        <v>48</v>
      </c>
      <c r="E9" s="2">
        <v>11</v>
      </c>
      <c r="F9" s="2">
        <v>9</v>
      </c>
      <c r="G9" s="2" t="s">
        <v>26</v>
      </c>
      <c r="H9" s="2">
        <v>300</v>
      </c>
      <c r="I9" s="2">
        <v>2700</v>
      </c>
    </row>
    <row r="10" spans="1:9" ht="15" customHeight="1" x14ac:dyDescent="0.3">
      <c r="A10" s="2" t="s">
        <v>197</v>
      </c>
      <c r="B10" s="2" t="s">
        <v>190</v>
      </c>
      <c r="C10" s="2" t="s">
        <v>20</v>
      </c>
      <c r="D10" s="2">
        <v>98</v>
      </c>
      <c r="E10" s="2">
        <v>24</v>
      </c>
      <c r="F10" s="2">
        <v>20</v>
      </c>
      <c r="G10" s="2" t="s">
        <v>29</v>
      </c>
      <c r="H10" s="2">
        <v>45</v>
      </c>
      <c r="I10" s="2">
        <v>900</v>
      </c>
    </row>
    <row r="11" spans="1:9" ht="15" customHeight="1" x14ac:dyDescent="0.3">
      <c r="A11" s="2" t="s">
        <v>198</v>
      </c>
      <c r="B11" s="2" t="s">
        <v>190</v>
      </c>
      <c r="C11" s="2" t="s">
        <v>36</v>
      </c>
      <c r="D11" s="2">
        <v>74</v>
      </c>
      <c r="E11" s="2">
        <v>15</v>
      </c>
      <c r="F11" s="2">
        <v>13</v>
      </c>
      <c r="G11" s="2" t="s">
        <v>11</v>
      </c>
      <c r="H11" s="2">
        <v>60</v>
      </c>
      <c r="I11" s="2">
        <v>780</v>
      </c>
    </row>
    <row r="12" spans="1:9" ht="15" customHeight="1" x14ac:dyDescent="0.3">
      <c r="A12" s="2" t="s">
        <v>199</v>
      </c>
      <c r="B12" s="2" t="s">
        <v>190</v>
      </c>
      <c r="C12" s="2" t="s">
        <v>38</v>
      </c>
      <c r="D12" s="2">
        <v>128</v>
      </c>
      <c r="E12" s="2">
        <v>38</v>
      </c>
      <c r="F12" s="2">
        <v>33</v>
      </c>
      <c r="G12" s="2" t="s">
        <v>13</v>
      </c>
      <c r="H12" s="2">
        <v>75</v>
      </c>
      <c r="I12" s="2">
        <v>2475</v>
      </c>
    </row>
    <row r="13" spans="1:9" ht="15" customHeight="1" x14ac:dyDescent="0.3">
      <c r="A13" s="2"/>
      <c r="B13" s="2" t="s">
        <v>190</v>
      </c>
      <c r="C13" s="2" t="s">
        <v>40</v>
      </c>
      <c r="D13" s="2">
        <v>115</v>
      </c>
      <c r="E13" s="2">
        <v>32</v>
      </c>
      <c r="F13" s="2">
        <v>27</v>
      </c>
      <c r="G13" s="2" t="s">
        <v>23</v>
      </c>
      <c r="H13" s="2">
        <v>65</v>
      </c>
      <c r="I13" s="2">
        <v>1755</v>
      </c>
    </row>
    <row r="14" spans="1:9" ht="15" customHeight="1" x14ac:dyDescent="0.3">
      <c r="A14" s="2" t="s">
        <v>200</v>
      </c>
      <c r="B14" s="2" t="s">
        <v>190</v>
      </c>
      <c r="C14" s="2" t="s">
        <v>41</v>
      </c>
      <c r="D14" s="2">
        <v>88</v>
      </c>
      <c r="E14" s="2">
        <v>22</v>
      </c>
      <c r="F14" s="2">
        <v>18</v>
      </c>
      <c r="G14" s="2" t="s">
        <v>26</v>
      </c>
      <c r="H14" s="2">
        <v>80</v>
      </c>
      <c r="I14" s="2">
        <v>1440</v>
      </c>
    </row>
    <row r="15" spans="1:9" ht="15" customHeight="1" x14ac:dyDescent="0.3">
      <c r="A15" s="2" t="s">
        <v>201</v>
      </c>
      <c r="B15" s="2" t="s">
        <v>190</v>
      </c>
      <c r="C15" s="2" t="s">
        <v>43</v>
      </c>
      <c r="D15" s="2">
        <v>24</v>
      </c>
      <c r="E15" s="2">
        <v>5</v>
      </c>
      <c r="F15" s="2">
        <v>3</v>
      </c>
      <c r="G15" s="2" t="s">
        <v>29</v>
      </c>
      <c r="H15" s="2">
        <v>700</v>
      </c>
      <c r="I15" s="2">
        <v>2100</v>
      </c>
    </row>
    <row r="16" spans="1:9" ht="15" customHeight="1" x14ac:dyDescent="0.3">
      <c r="A16" s="2" t="s">
        <v>202</v>
      </c>
      <c r="B16" s="2" t="s">
        <v>190</v>
      </c>
      <c r="C16" s="2" t="s">
        <v>45</v>
      </c>
      <c r="D16" s="2">
        <v>40</v>
      </c>
      <c r="E16" s="2">
        <v>9</v>
      </c>
      <c r="F16" s="2">
        <v>7</v>
      </c>
      <c r="G16" s="2" t="s">
        <v>15</v>
      </c>
      <c r="H16" s="2">
        <v>320</v>
      </c>
      <c r="I16" s="2">
        <v>2240</v>
      </c>
    </row>
    <row r="17" spans="1:9" ht="15" customHeight="1" x14ac:dyDescent="0.3">
      <c r="A17" s="2" t="s">
        <v>203</v>
      </c>
      <c r="B17" s="2" t="s">
        <v>190</v>
      </c>
      <c r="C17" s="2" t="s">
        <v>47</v>
      </c>
      <c r="D17" s="2">
        <v>142</v>
      </c>
      <c r="E17" s="2">
        <v>42</v>
      </c>
      <c r="F17" s="2">
        <v>37</v>
      </c>
      <c r="G17" s="2" t="s">
        <v>11</v>
      </c>
      <c r="H17" s="2">
        <v>20</v>
      </c>
      <c r="I17" s="2">
        <v>740</v>
      </c>
    </row>
    <row r="18" spans="1:9" ht="15" customHeight="1" x14ac:dyDescent="0.3">
      <c r="A18" s="2" t="s">
        <v>204</v>
      </c>
      <c r="B18" s="2" t="s">
        <v>190</v>
      </c>
      <c r="C18" s="2" t="s">
        <v>49</v>
      </c>
      <c r="D18" s="2">
        <v>160</v>
      </c>
      <c r="E18" s="2">
        <v>52</v>
      </c>
      <c r="F18" s="2">
        <v>47</v>
      </c>
      <c r="G18" s="2" t="s">
        <v>23</v>
      </c>
      <c r="H18" s="2">
        <v>12</v>
      </c>
      <c r="I18" s="2">
        <v>564</v>
      </c>
    </row>
    <row r="19" spans="1:9" ht="15" customHeight="1" x14ac:dyDescent="0.3">
      <c r="A19" s="2" t="s">
        <v>205</v>
      </c>
      <c r="B19" s="2" t="s">
        <v>190</v>
      </c>
      <c r="C19" s="2" t="s">
        <v>51</v>
      </c>
      <c r="D19" s="2">
        <v>188</v>
      </c>
      <c r="E19" s="2">
        <v>63</v>
      </c>
      <c r="F19" s="2">
        <v>58</v>
      </c>
      <c r="G19" s="2" t="s">
        <v>26</v>
      </c>
      <c r="H19" s="2">
        <v>6</v>
      </c>
      <c r="I19" s="2">
        <v>348</v>
      </c>
    </row>
    <row r="20" spans="1:9" ht="15" customHeight="1" x14ac:dyDescent="0.3">
      <c r="A20" s="2" t="s">
        <v>206</v>
      </c>
      <c r="B20" s="2" t="s">
        <v>190</v>
      </c>
      <c r="C20" s="2" t="s">
        <v>53</v>
      </c>
      <c r="D20" s="2">
        <v>78</v>
      </c>
      <c r="E20" s="2">
        <v>18</v>
      </c>
      <c r="F20" s="2">
        <v>15</v>
      </c>
      <c r="G20" s="2" t="s">
        <v>29</v>
      </c>
      <c r="H20" s="2">
        <v>18</v>
      </c>
      <c r="I20" s="2">
        <v>270</v>
      </c>
    </row>
    <row r="21" spans="1:9" ht="15" customHeight="1" x14ac:dyDescent="0.3">
      <c r="A21" s="2" t="s">
        <v>207</v>
      </c>
      <c r="B21" s="2" t="s">
        <v>190</v>
      </c>
      <c r="C21" s="2" t="s">
        <v>55</v>
      </c>
      <c r="D21" s="2">
        <v>63</v>
      </c>
      <c r="E21" s="2">
        <v>14</v>
      </c>
      <c r="F21" s="2">
        <v>11</v>
      </c>
      <c r="G21" s="2" t="s">
        <v>13</v>
      </c>
      <c r="H21" s="2">
        <v>55</v>
      </c>
      <c r="I21" s="2">
        <v>605</v>
      </c>
    </row>
    <row r="22" spans="1:9" ht="15" customHeight="1" x14ac:dyDescent="0.3">
      <c r="A22" s="2"/>
      <c r="B22" s="2" t="s">
        <v>190</v>
      </c>
      <c r="C22" s="2" t="s">
        <v>57</v>
      </c>
      <c r="D22" s="2">
        <v>54</v>
      </c>
      <c r="E22" s="2">
        <v>11</v>
      </c>
      <c r="F22" s="2">
        <v>8</v>
      </c>
      <c r="G22" s="2" t="s">
        <v>15</v>
      </c>
      <c r="H22" s="2">
        <v>25</v>
      </c>
      <c r="I22" s="2">
        <v>200</v>
      </c>
    </row>
    <row r="23" spans="1:9" ht="15" customHeight="1" x14ac:dyDescent="0.3">
      <c r="A23" s="2" t="s">
        <v>208</v>
      </c>
      <c r="B23" s="2" t="s">
        <v>190</v>
      </c>
      <c r="C23" s="2" t="s">
        <v>59</v>
      </c>
      <c r="D23" s="2">
        <v>44</v>
      </c>
      <c r="E23" s="2">
        <v>10</v>
      </c>
      <c r="F23" s="2">
        <v>8</v>
      </c>
      <c r="G23" s="2" t="s">
        <v>23</v>
      </c>
      <c r="H23" s="2">
        <v>210</v>
      </c>
      <c r="I23" s="2">
        <v>1680</v>
      </c>
    </row>
    <row r="24" spans="1:9" ht="15" customHeight="1" x14ac:dyDescent="0.3">
      <c r="A24" s="2" t="s">
        <v>209</v>
      </c>
      <c r="B24" s="2" t="s">
        <v>190</v>
      </c>
      <c r="C24" s="2" t="s">
        <v>61</v>
      </c>
      <c r="D24" s="2">
        <v>37</v>
      </c>
      <c r="E24" s="2">
        <v>6</v>
      </c>
      <c r="F24" s="2">
        <v>4</v>
      </c>
      <c r="G24" s="2" t="s">
        <v>26</v>
      </c>
      <c r="H24" s="2">
        <v>650</v>
      </c>
      <c r="I24" s="2">
        <v>2600</v>
      </c>
    </row>
    <row r="25" spans="1:9" ht="15" customHeight="1" x14ac:dyDescent="0.3">
      <c r="A25" s="2" t="s">
        <v>210</v>
      </c>
      <c r="B25" s="2" t="s">
        <v>190</v>
      </c>
      <c r="C25" s="2" t="s">
        <v>63</v>
      </c>
      <c r="D25" s="2">
        <v>20</v>
      </c>
      <c r="E25" s="2">
        <v>3</v>
      </c>
      <c r="F25" s="2">
        <v>2</v>
      </c>
      <c r="G25" s="2" t="s">
        <v>29</v>
      </c>
      <c r="H25" s="2">
        <v>900</v>
      </c>
      <c r="I25" s="2">
        <v>1800</v>
      </c>
    </row>
    <row r="26" spans="1:9" ht="15" customHeight="1" x14ac:dyDescent="0.3">
      <c r="A26" s="2" t="s">
        <v>211</v>
      </c>
      <c r="B26" s="2" t="s">
        <v>190</v>
      </c>
      <c r="C26" s="2" t="s">
        <v>65</v>
      </c>
      <c r="D26" s="2">
        <v>150</v>
      </c>
      <c r="E26" s="2">
        <v>45</v>
      </c>
      <c r="F26" s="2">
        <v>40</v>
      </c>
      <c r="G26" s="2" t="s">
        <v>11</v>
      </c>
      <c r="H26" s="2">
        <v>14</v>
      </c>
      <c r="I26" s="2">
        <v>560</v>
      </c>
    </row>
    <row r="27" spans="1:9" ht="15" customHeight="1" x14ac:dyDescent="0.3">
      <c r="A27" s="2" t="s">
        <v>212</v>
      </c>
      <c r="B27" s="2" t="s">
        <v>190</v>
      </c>
      <c r="C27" s="2" t="s">
        <v>67</v>
      </c>
      <c r="D27" s="2">
        <v>14</v>
      </c>
      <c r="E27" s="2">
        <v>2</v>
      </c>
      <c r="F27" s="2">
        <v>1</v>
      </c>
      <c r="G27" s="2" t="s">
        <v>13</v>
      </c>
      <c r="H27" s="2">
        <v>480</v>
      </c>
      <c r="I27" s="2">
        <v>480</v>
      </c>
    </row>
    <row r="28" spans="1:9" ht="15" customHeight="1" x14ac:dyDescent="0.3">
      <c r="A28" s="2" t="s">
        <v>213</v>
      </c>
      <c r="B28" s="2" t="s">
        <v>190</v>
      </c>
      <c r="C28" s="2" t="s">
        <v>68</v>
      </c>
      <c r="D28" s="2">
        <v>170</v>
      </c>
      <c r="E28" s="2">
        <v>58</v>
      </c>
      <c r="F28" s="2">
        <v>53</v>
      </c>
      <c r="G28" s="2" t="s">
        <v>23</v>
      </c>
      <c r="H28" s="2">
        <v>10</v>
      </c>
      <c r="I28" s="2">
        <v>530</v>
      </c>
    </row>
    <row r="29" spans="1:9" ht="15" customHeight="1" x14ac:dyDescent="0.3">
      <c r="A29" s="2" t="s">
        <v>214</v>
      </c>
      <c r="B29" s="2" t="s">
        <v>190</v>
      </c>
      <c r="C29" s="2" t="s">
        <v>70</v>
      </c>
      <c r="D29" s="2">
        <v>75</v>
      </c>
      <c r="E29" s="2">
        <v>17</v>
      </c>
      <c r="F29" s="2">
        <v>14</v>
      </c>
      <c r="G29" s="2" t="s">
        <v>26</v>
      </c>
      <c r="H29" s="2">
        <v>95</v>
      </c>
      <c r="I29" s="2">
        <v>1330</v>
      </c>
    </row>
    <row r="30" spans="1:9" ht="15" customHeight="1" x14ac:dyDescent="0.3">
      <c r="A30" s="2" t="s">
        <v>215</v>
      </c>
      <c r="B30" s="2" t="s">
        <v>190</v>
      </c>
      <c r="C30" s="2"/>
      <c r="D30" s="2">
        <v>65</v>
      </c>
      <c r="E30" s="2">
        <v>15</v>
      </c>
      <c r="F30" s="2">
        <v>12</v>
      </c>
      <c r="G30" s="2" t="s">
        <v>29</v>
      </c>
      <c r="H30" s="2">
        <v>85</v>
      </c>
      <c r="I30" s="2">
        <v>1020</v>
      </c>
    </row>
    <row r="31" spans="1:9" ht="15" customHeight="1" x14ac:dyDescent="0.3">
      <c r="A31" s="2" t="s">
        <v>216</v>
      </c>
      <c r="B31" s="2" t="s">
        <v>190</v>
      </c>
      <c r="C31" s="2" t="s">
        <v>74</v>
      </c>
      <c r="D31" s="2">
        <v>12</v>
      </c>
      <c r="E31" s="2">
        <v>2</v>
      </c>
      <c r="F31" s="2">
        <v>1</v>
      </c>
      <c r="G31" s="2" t="s">
        <v>15</v>
      </c>
      <c r="H31" s="2">
        <v>400</v>
      </c>
      <c r="I31" s="2">
        <v>400</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C85F7-96E4-40BC-B95F-C10A009A39B6}">
  <dimension ref="A1:I31"/>
  <sheetViews>
    <sheetView workbookViewId="0">
      <selection sqref="A1:I31"/>
    </sheetView>
  </sheetViews>
  <sheetFormatPr defaultRowHeight="14.4" x14ac:dyDescent="0.3"/>
  <cols>
    <col min="1" max="9" width="19.109375" customWidth="1"/>
  </cols>
  <sheetData>
    <row r="1" spans="1:9" ht="15" customHeight="1" x14ac:dyDescent="0.3">
      <c r="A1" s="1" t="s">
        <v>0</v>
      </c>
      <c r="B1" s="1" t="s">
        <v>1</v>
      </c>
      <c r="C1" s="1" t="s">
        <v>2</v>
      </c>
      <c r="D1" s="1" t="s">
        <v>3</v>
      </c>
      <c r="E1" s="1" t="s">
        <v>4</v>
      </c>
      <c r="F1" s="1" t="s">
        <v>5</v>
      </c>
      <c r="G1" s="1" t="s">
        <v>6</v>
      </c>
      <c r="H1" s="1" t="s">
        <v>7</v>
      </c>
      <c r="I1" s="1" t="s">
        <v>8</v>
      </c>
    </row>
    <row r="2" spans="1:9" ht="15" customHeight="1" x14ac:dyDescent="0.3">
      <c r="A2" s="2" t="s">
        <v>75</v>
      </c>
      <c r="B2" s="2" t="s">
        <v>217</v>
      </c>
      <c r="C2" s="2" t="s">
        <v>10</v>
      </c>
      <c r="D2" s="2">
        <v>115</v>
      </c>
      <c r="E2" s="2">
        <v>38</v>
      </c>
      <c r="F2" s="2">
        <v>32</v>
      </c>
      <c r="G2" s="2" t="s">
        <v>11</v>
      </c>
      <c r="H2" s="2">
        <v>15</v>
      </c>
      <c r="I2" s="2">
        <v>143</v>
      </c>
    </row>
    <row r="3" spans="1:9" ht="15" customHeight="1" x14ac:dyDescent="0.3">
      <c r="A3" s="2" t="s">
        <v>76</v>
      </c>
      <c r="B3" s="2" t="s">
        <v>217</v>
      </c>
      <c r="C3" s="2" t="s">
        <v>12</v>
      </c>
      <c r="D3" s="2">
        <v>145</v>
      </c>
      <c r="E3" s="2">
        <v>58</v>
      </c>
      <c r="F3" s="2">
        <v>52</v>
      </c>
      <c r="G3" s="2" t="s">
        <v>26</v>
      </c>
      <c r="H3" s="2">
        <v>8</v>
      </c>
      <c r="I3" s="2">
        <v>416</v>
      </c>
    </row>
    <row r="4" spans="1:9" ht="15" customHeight="1" x14ac:dyDescent="0.3">
      <c r="A4" s="2" t="s">
        <v>77</v>
      </c>
      <c r="B4" s="2" t="s">
        <v>217</v>
      </c>
      <c r="C4" s="2" t="s">
        <v>14</v>
      </c>
      <c r="D4" s="2">
        <v>78</v>
      </c>
      <c r="E4" s="2">
        <v>20</v>
      </c>
      <c r="F4" s="2">
        <v>18</v>
      </c>
      <c r="G4" s="2" t="s">
        <v>29</v>
      </c>
      <c r="H4" s="2">
        <v>120</v>
      </c>
      <c r="I4" s="2">
        <v>2160</v>
      </c>
    </row>
    <row r="5" spans="1:9" ht="15" customHeight="1" x14ac:dyDescent="0.3">
      <c r="A5" s="2" t="s">
        <v>78</v>
      </c>
      <c r="B5" s="2" t="s">
        <v>217</v>
      </c>
      <c r="C5" s="2" t="s">
        <v>25</v>
      </c>
      <c r="D5" s="2">
        <v>42</v>
      </c>
      <c r="E5" s="2">
        <v>12</v>
      </c>
      <c r="F5" s="2">
        <v>9</v>
      </c>
      <c r="G5" s="2" t="s">
        <v>13</v>
      </c>
      <c r="H5" s="2">
        <v>550</v>
      </c>
      <c r="I5" s="2">
        <v>4950</v>
      </c>
    </row>
    <row r="6" spans="1:9" ht="15" customHeight="1" x14ac:dyDescent="0.3">
      <c r="A6" s="2" t="s">
        <v>79</v>
      </c>
      <c r="B6" s="2" t="s">
        <v>217</v>
      </c>
      <c r="C6" s="2" t="s">
        <v>16</v>
      </c>
      <c r="D6" s="2">
        <v>90</v>
      </c>
      <c r="E6" s="2">
        <v>25</v>
      </c>
      <c r="F6" s="2">
        <v>20</v>
      </c>
      <c r="G6" s="2" t="s">
        <v>23</v>
      </c>
      <c r="H6" s="2">
        <v>22</v>
      </c>
      <c r="I6" s="2">
        <v>440</v>
      </c>
    </row>
    <row r="7" spans="1:9" ht="15" customHeight="1" x14ac:dyDescent="0.3">
      <c r="A7" s="2"/>
      <c r="B7" s="2" t="s">
        <v>217</v>
      </c>
      <c r="C7" s="2" t="s">
        <v>19</v>
      </c>
      <c r="D7" s="2">
        <v>68</v>
      </c>
      <c r="E7" s="2">
        <v>18</v>
      </c>
      <c r="F7" s="2">
        <v>16</v>
      </c>
      <c r="G7" s="2" t="s">
        <v>15</v>
      </c>
      <c r="H7" s="2">
        <v>35</v>
      </c>
      <c r="I7" s="2">
        <v>560</v>
      </c>
    </row>
    <row r="8" spans="1:9" ht="15" customHeight="1" x14ac:dyDescent="0.3">
      <c r="A8" s="2" t="s">
        <v>80</v>
      </c>
      <c r="B8" s="2" t="s">
        <v>217</v>
      </c>
      <c r="C8" s="2" t="s">
        <v>31</v>
      </c>
      <c r="D8" s="2">
        <v>38</v>
      </c>
      <c r="E8" s="2">
        <v>10</v>
      </c>
      <c r="F8" s="2">
        <v>7</v>
      </c>
      <c r="G8" s="2" t="s">
        <v>26</v>
      </c>
      <c r="H8" s="2">
        <v>150</v>
      </c>
      <c r="I8" s="2">
        <v>1050</v>
      </c>
    </row>
    <row r="9" spans="1:9" ht="15" customHeight="1" x14ac:dyDescent="0.3">
      <c r="A9" s="2" t="s">
        <v>81</v>
      </c>
      <c r="B9" s="2" t="s">
        <v>217</v>
      </c>
      <c r="C9" s="2" t="s">
        <v>33</v>
      </c>
      <c r="D9" s="2">
        <v>58</v>
      </c>
      <c r="E9" s="2">
        <v>15</v>
      </c>
      <c r="F9" s="2">
        <v>13</v>
      </c>
      <c r="G9" s="2" t="s">
        <v>29</v>
      </c>
      <c r="H9" s="2">
        <v>300</v>
      </c>
      <c r="I9" s="2">
        <v>3900</v>
      </c>
    </row>
    <row r="10" spans="1:9" ht="15" customHeight="1" x14ac:dyDescent="0.3">
      <c r="A10" s="2" t="s">
        <v>82</v>
      </c>
      <c r="B10" s="2" t="s">
        <v>217</v>
      </c>
      <c r="C10" s="2" t="s">
        <v>20</v>
      </c>
      <c r="D10" s="2">
        <v>108</v>
      </c>
      <c r="E10" s="2">
        <v>32</v>
      </c>
      <c r="F10" s="2">
        <v>28</v>
      </c>
      <c r="G10" s="2" t="s">
        <v>11</v>
      </c>
      <c r="H10" s="2">
        <v>45</v>
      </c>
      <c r="I10" s="2">
        <v>1260</v>
      </c>
    </row>
    <row r="11" spans="1:9" ht="15" customHeight="1" x14ac:dyDescent="0.3">
      <c r="A11" s="2" t="s">
        <v>83</v>
      </c>
      <c r="B11" s="2" t="s">
        <v>217</v>
      </c>
      <c r="C11" s="2"/>
      <c r="D11" s="2">
        <v>82</v>
      </c>
      <c r="E11" s="2">
        <v>20</v>
      </c>
      <c r="F11" s="2">
        <v>18</v>
      </c>
      <c r="G11" s="2" t="s">
        <v>13</v>
      </c>
      <c r="H11" s="2">
        <v>60</v>
      </c>
      <c r="I11" s="2">
        <v>1080</v>
      </c>
    </row>
    <row r="12" spans="1:9" ht="15" customHeight="1" x14ac:dyDescent="0.3">
      <c r="A12" s="2" t="s">
        <v>84</v>
      </c>
      <c r="B12" s="2" t="s">
        <v>217</v>
      </c>
      <c r="C12" s="2" t="s">
        <v>38</v>
      </c>
      <c r="D12" s="2">
        <v>138</v>
      </c>
      <c r="E12" s="2">
        <v>48</v>
      </c>
      <c r="F12" s="2">
        <v>42</v>
      </c>
      <c r="G12" s="2" t="s">
        <v>23</v>
      </c>
      <c r="H12" s="2">
        <v>75</v>
      </c>
      <c r="I12" s="2">
        <v>3150</v>
      </c>
    </row>
    <row r="13" spans="1:9" ht="15" customHeight="1" x14ac:dyDescent="0.3">
      <c r="A13" s="2" t="s">
        <v>85</v>
      </c>
      <c r="B13" s="2" t="s">
        <v>217</v>
      </c>
      <c r="C13" s="2" t="s">
        <v>40</v>
      </c>
      <c r="D13" s="2">
        <v>125</v>
      </c>
      <c r="E13" s="2">
        <v>40</v>
      </c>
      <c r="F13" s="2">
        <v>35</v>
      </c>
      <c r="G13" s="2" t="s">
        <v>26</v>
      </c>
      <c r="H13" s="2">
        <v>65</v>
      </c>
      <c r="I13" s="2">
        <v>2275</v>
      </c>
    </row>
    <row r="14" spans="1:9" ht="15" customHeight="1" x14ac:dyDescent="0.3">
      <c r="A14" s="2" t="s">
        <v>86</v>
      </c>
      <c r="B14" s="2" t="s">
        <v>217</v>
      </c>
      <c r="C14" s="2" t="s">
        <v>41</v>
      </c>
      <c r="D14" s="2">
        <v>96</v>
      </c>
      <c r="E14" s="2">
        <v>28</v>
      </c>
      <c r="F14" s="2">
        <v>24</v>
      </c>
      <c r="G14" s="2" t="s">
        <v>15</v>
      </c>
      <c r="H14" s="2">
        <v>80</v>
      </c>
      <c r="I14" s="2">
        <v>1920</v>
      </c>
    </row>
    <row r="15" spans="1:9" ht="15" customHeight="1" x14ac:dyDescent="0.3">
      <c r="A15" s="2" t="s">
        <v>87</v>
      </c>
      <c r="B15" s="2" t="s">
        <v>217</v>
      </c>
      <c r="C15" s="2" t="s">
        <v>43</v>
      </c>
      <c r="D15" s="2">
        <v>32</v>
      </c>
      <c r="E15" s="2">
        <v>9</v>
      </c>
      <c r="F15" s="2">
        <v>6</v>
      </c>
      <c r="G15" s="2" t="s">
        <v>29</v>
      </c>
      <c r="H15" s="2">
        <v>700</v>
      </c>
      <c r="I15" s="2">
        <v>4200</v>
      </c>
    </row>
    <row r="16" spans="1:9" ht="15" customHeight="1" x14ac:dyDescent="0.3">
      <c r="A16" s="2" t="s">
        <v>88</v>
      </c>
      <c r="B16" s="2" t="s">
        <v>217</v>
      </c>
      <c r="C16" s="2" t="s">
        <v>45</v>
      </c>
      <c r="D16" s="2">
        <v>48</v>
      </c>
      <c r="E16" s="2">
        <v>13</v>
      </c>
      <c r="F16" s="2">
        <v>11</v>
      </c>
      <c r="G16" s="2" t="s">
        <v>23</v>
      </c>
      <c r="H16" s="2">
        <v>320</v>
      </c>
      <c r="I16" s="2">
        <v>3520</v>
      </c>
    </row>
    <row r="17" spans="1:9" ht="15" customHeight="1" x14ac:dyDescent="0.3">
      <c r="A17" s="2"/>
      <c r="B17" s="2" t="s">
        <v>217</v>
      </c>
      <c r="C17" s="2" t="s">
        <v>47</v>
      </c>
      <c r="D17" s="2">
        <v>155</v>
      </c>
      <c r="E17" s="2">
        <v>50</v>
      </c>
      <c r="F17" s="2">
        <v>46</v>
      </c>
      <c r="G17" s="2" t="s">
        <v>11</v>
      </c>
      <c r="H17" s="2">
        <v>20</v>
      </c>
      <c r="I17" s="2">
        <v>920</v>
      </c>
    </row>
    <row r="18" spans="1:9" ht="15" customHeight="1" x14ac:dyDescent="0.3">
      <c r="A18" s="2" t="s">
        <v>89</v>
      </c>
      <c r="B18" s="2" t="s">
        <v>217</v>
      </c>
      <c r="C18" s="2" t="s">
        <v>49</v>
      </c>
      <c r="D18" s="2">
        <v>175</v>
      </c>
      <c r="E18" s="2">
        <v>65</v>
      </c>
      <c r="F18" s="2">
        <v>60</v>
      </c>
      <c r="G18" s="2" t="s">
        <v>13</v>
      </c>
      <c r="H18" s="2">
        <v>12</v>
      </c>
      <c r="I18" s="2">
        <v>720</v>
      </c>
    </row>
    <row r="19" spans="1:9" ht="15" customHeight="1" x14ac:dyDescent="0.3">
      <c r="A19" s="2" t="s">
        <v>90</v>
      </c>
      <c r="B19" s="2" t="s">
        <v>217</v>
      </c>
      <c r="C19" s="2" t="s">
        <v>51</v>
      </c>
      <c r="D19" s="2">
        <v>198</v>
      </c>
      <c r="E19" s="2">
        <v>75</v>
      </c>
      <c r="F19" s="2">
        <v>70</v>
      </c>
      <c r="G19" s="2" t="s">
        <v>26</v>
      </c>
      <c r="H19" s="2">
        <v>6</v>
      </c>
      <c r="I19" s="2">
        <v>420</v>
      </c>
    </row>
    <row r="20" spans="1:9" ht="15" customHeight="1" x14ac:dyDescent="0.3">
      <c r="A20" s="2" t="s">
        <v>91</v>
      </c>
      <c r="B20" s="2" t="s">
        <v>217</v>
      </c>
      <c r="C20" s="2" t="s">
        <v>53</v>
      </c>
      <c r="D20" s="2">
        <v>88</v>
      </c>
      <c r="E20" s="2">
        <v>25</v>
      </c>
      <c r="F20" s="2">
        <v>22</v>
      </c>
      <c r="G20" s="2" t="s">
        <v>29</v>
      </c>
      <c r="H20" s="2">
        <v>18</v>
      </c>
      <c r="I20" s="2">
        <v>396</v>
      </c>
    </row>
    <row r="21" spans="1:9" ht="15" customHeight="1" x14ac:dyDescent="0.3">
      <c r="A21" s="2" t="s">
        <v>92</v>
      </c>
      <c r="B21" s="2" t="s">
        <v>217</v>
      </c>
      <c r="C21" s="2" t="s">
        <v>55</v>
      </c>
      <c r="D21" s="2">
        <v>73</v>
      </c>
      <c r="E21" s="2">
        <v>18</v>
      </c>
      <c r="F21" s="2">
        <v>15</v>
      </c>
      <c r="G21" s="2" t="s">
        <v>15</v>
      </c>
      <c r="H21" s="2">
        <v>55</v>
      </c>
      <c r="I21" s="2">
        <v>825</v>
      </c>
    </row>
    <row r="22" spans="1:9" ht="15" customHeight="1" x14ac:dyDescent="0.3">
      <c r="A22" s="2" t="s">
        <v>93</v>
      </c>
      <c r="B22" s="2" t="s">
        <v>217</v>
      </c>
      <c r="C22" s="2" t="s">
        <v>57</v>
      </c>
      <c r="D22" s="2">
        <v>62</v>
      </c>
      <c r="E22" s="2">
        <v>15</v>
      </c>
      <c r="F22" s="2">
        <v>12</v>
      </c>
      <c r="G22" s="2" t="s">
        <v>11</v>
      </c>
      <c r="H22" s="2">
        <v>25</v>
      </c>
      <c r="I22" s="2">
        <v>300</v>
      </c>
    </row>
    <row r="23" spans="1:9" ht="15" customHeight="1" x14ac:dyDescent="0.3">
      <c r="A23" s="2" t="s">
        <v>94</v>
      </c>
      <c r="B23" s="2" t="s">
        <v>217</v>
      </c>
      <c r="C23" s="2" t="s">
        <v>59</v>
      </c>
      <c r="D23" s="2">
        <v>52</v>
      </c>
      <c r="E23" s="2">
        <v>14</v>
      </c>
      <c r="F23" s="2">
        <v>12</v>
      </c>
      <c r="G23" s="2" t="s">
        <v>23</v>
      </c>
      <c r="H23" s="2">
        <v>210</v>
      </c>
      <c r="I23" s="2">
        <v>2520</v>
      </c>
    </row>
    <row r="24" spans="1:9" ht="15" customHeight="1" x14ac:dyDescent="0.3">
      <c r="A24" s="2" t="s">
        <v>95</v>
      </c>
      <c r="B24" s="2" t="s">
        <v>217</v>
      </c>
      <c r="C24" s="2" t="s">
        <v>61</v>
      </c>
      <c r="D24" s="2">
        <v>45</v>
      </c>
      <c r="E24" s="2">
        <v>10</v>
      </c>
      <c r="F24" s="2">
        <v>8</v>
      </c>
      <c r="G24" s="2" t="s">
        <v>26</v>
      </c>
      <c r="H24" s="2">
        <v>650</v>
      </c>
      <c r="I24" s="2">
        <v>5200</v>
      </c>
    </row>
    <row r="25" spans="1:9" ht="15" customHeight="1" x14ac:dyDescent="0.3">
      <c r="A25" s="2" t="s">
        <v>96</v>
      </c>
      <c r="B25" s="2" t="s">
        <v>217</v>
      </c>
      <c r="C25" s="2"/>
      <c r="D25" s="2">
        <v>28</v>
      </c>
      <c r="E25" s="2">
        <v>7</v>
      </c>
      <c r="F25" s="2">
        <v>5</v>
      </c>
      <c r="G25" s="2" t="s">
        <v>29</v>
      </c>
      <c r="H25" s="2">
        <v>900</v>
      </c>
      <c r="I25" s="2">
        <v>4500</v>
      </c>
    </row>
    <row r="26" spans="1:9" ht="15" customHeight="1" x14ac:dyDescent="0.3">
      <c r="A26" s="2" t="s">
        <v>97</v>
      </c>
      <c r="B26" s="2" t="s">
        <v>217</v>
      </c>
      <c r="C26" s="2" t="s">
        <v>65</v>
      </c>
      <c r="D26" s="2">
        <v>165</v>
      </c>
      <c r="E26" s="2">
        <v>55</v>
      </c>
      <c r="F26" s="2">
        <v>50</v>
      </c>
      <c r="G26" s="2" t="s">
        <v>13</v>
      </c>
      <c r="H26" s="2">
        <v>14</v>
      </c>
      <c r="I26" s="2">
        <v>700</v>
      </c>
    </row>
    <row r="27" spans="1:9" ht="15" customHeight="1" x14ac:dyDescent="0.3">
      <c r="A27" s="2" t="s">
        <v>98</v>
      </c>
      <c r="B27" s="2" t="s">
        <v>217</v>
      </c>
      <c r="C27" s="2" t="s">
        <v>67</v>
      </c>
      <c r="D27" s="2">
        <v>22</v>
      </c>
      <c r="E27" s="2">
        <v>5</v>
      </c>
      <c r="F27" s="2">
        <v>4</v>
      </c>
      <c r="G27" s="2" t="s">
        <v>15</v>
      </c>
      <c r="H27" s="2">
        <v>480</v>
      </c>
      <c r="I27" s="2">
        <v>1920</v>
      </c>
    </row>
    <row r="28" spans="1:9" ht="15" customHeight="1" x14ac:dyDescent="0.3">
      <c r="A28" s="2" t="s">
        <v>99</v>
      </c>
      <c r="B28" s="2" t="s">
        <v>217</v>
      </c>
      <c r="C28" s="2" t="s">
        <v>68</v>
      </c>
      <c r="D28" s="2">
        <v>185</v>
      </c>
      <c r="E28" s="2">
        <v>70</v>
      </c>
      <c r="F28" s="2">
        <v>65</v>
      </c>
      <c r="G28" s="2" t="s">
        <v>23</v>
      </c>
      <c r="H28" s="2">
        <v>10</v>
      </c>
      <c r="I28" s="2">
        <v>650</v>
      </c>
    </row>
    <row r="29" spans="1:9" ht="15" customHeight="1" x14ac:dyDescent="0.3">
      <c r="A29" s="2" t="s">
        <v>100</v>
      </c>
      <c r="B29" s="2" t="s">
        <v>217</v>
      </c>
      <c r="C29" s="2" t="s">
        <v>70</v>
      </c>
      <c r="D29" s="2">
        <v>85</v>
      </c>
      <c r="E29" s="2">
        <v>22</v>
      </c>
      <c r="F29" s="2">
        <v>19</v>
      </c>
      <c r="G29" s="2" t="s">
        <v>26</v>
      </c>
      <c r="H29" s="2">
        <v>95</v>
      </c>
      <c r="I29" s="2">
        <v>1805</v>
      </c>
    </row>
    <row r="30" spans="1:9" ht="15" customHeight="1" x14ac:dyDescent="0.3">
      <c r="A30" s="2"/>
      <c r="B30" s="2" t="s">
        <v>217</v>
      </c>
      <c r="C30" s="2" t="s">
        <v>72</v>
      </c>
      <c r="D30" s="2">
        <v>75</v>
      </c>
      <c r="E30" s="2">
        <v>19</v>
      </c>
      <c r="F30" s="2">
        <v>17</v>
      </c>
      <c r="G30" s="2" t="s">
        <v>11</v>
      </c>
      <c r="H30" s="2">
        <v>85</v>
      </c>
      <c r="I30" s="2">
        <v>1445</v>
      </c>
    </row>
    <row r="31" spans="1:9" ht="15" customHeight="1" x14ac:dyDescent="0.3">
      <c r="A31" s="2" t="s">
        <v>101</v>
      </c>
      <c r="B31" s="2" t="s">
        <v>217</v>
      </c>
      <c r="C31" s="2" t="s">
        <v>74</v>
      </c>
      <c r="D31" s="2">
        <v>18</v>
      </c>
      <c r="E31" s="2">
        <v>4</v>
      </c>
      <c r="F31" s="2">
        <v>3</v>
      </c>
      <c r="G31" s="2" t="s">
        <v>29</v>
      </c>
      <c r="H31" s="2">
        <v>400</v>
      </c>
      <c r="I31" s="2">
        <v>1200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B68C436-245D-4401-A1EC-8F030E7485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AllData</vt:lpstr>
      <vt:lpstr>Inventory</vt:lpstr>
      <vt:lpstr>Data_jan</vt:lpstr>
      <vt:lpstr>Data_feb</vt:lpstr>
      <vt:lpstr>Data_march</vt:lpstr>
      <vt:lpstr>Data_april</vt:lpstr>
      <vt:lpstr>Data_may</vt:lpstr>
      <vt:lpstr>Data_june</vt:lpstr>
      <vt:lpstr>Data_jul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Shin Necesario</dc:creator>
  <cp:lastModifiedBy>Jay Mark Pineda</cp:lastModifiedBy>
  <dcterms:created xsi:type="dcterms:W3CDTF">2026-02-23T05:51:24Z</dcterms:created>
  <dcterms:modified xsi:type="dcterms:W3CDTF">2026-05-11T11:16:34Z</dcterms:modified>
</cp:coreProperties>
</file>